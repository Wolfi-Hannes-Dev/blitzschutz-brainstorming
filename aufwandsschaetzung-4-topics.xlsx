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RBAC" sheetId="2" state="visible" r:id="rId2"/>
    <sheet name="Toggl" sheetId="3" state="visible" r:id="rId3"/>
    <sheet name="Terminplanung" sheetId="4" state="visible" r:id="rId4"/>
    <sheet name="Angebots-Too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€&quot;"/>
    <numFmt numFmtId="165" formatCode="0.0&quot; h&quot;"/>
  </numFmts>
  <fonts count="16">
    <font>
      <name val="Calibri"/>
      <family val="2"/>
      <color theme="1"/>
      <sz val="11"/>
      <scheme val="minor"/>
    </font>
    <font>
      <b val="1"/>
      <color rgb="001F3864"/>
      <sz val="15"/>
    </font>
    <font>
      <color rgb="00666666"/>
      <sz val="10"/>
    </font>
    <font>
      <b val="1"/>
      <color rgb="001F3864"/>
      <sz val="10"/>
    </font>
    <font>
      <i val="1"/>
      <color rgb="00666666"/>
      <sz val="9"/>
    </font>
    <font>
      <b val="1"/>
      <color rgb="001F3864"/>
    </font>
    <font>
      <b val="1"/>
      <color rgb="00FFFFFF"/>
      <sz val="11"/>
    </font>
    <font>
      <b val="1"/>
      <color rgb="00BF8F00"/>
    </font>
    <font>
      <b val="1"/>
    </font>
    <font>
      <color rgb="00666666"/>
      <sz val="9"/>
    </font>
    <font/>
    <font>
      <b val="1"/>
      <color rgb="00FFFFFF"/>
      <sz val="12"/>
    </font>
    <font>
      <i val="1"/>
      <color rgb="00BF8F00"/>
      <sz val="9"/>
    </font>
    <font>
      <b val="1"/>
      <color rgb="001F3864"/>
      <sz val="12"/>
    </font>
    <font>
      <b val="1"/>
      <sz val="10"/>
    </font>
    <font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applyAlignment="1" pivotButton="0" quotePrefix="0" xfId="0">
      <alignment vertical="center" wrapText="1"/>
    </xf>
    <xf numFmtId="165" fontId="0" fillId="0" borderId="1" pivotButton="0" quotePrefix="0" xfId="0"/>
    <xf numFmtId="164" fontId="0" fillId="0" borderId="1" pivotButton="0" quotePrefix="0" xfId="0"/>
    <xf numFmtId="0" fontId="9" fillId="0" borderId="1" applyAlignment="1" pivotButton="0" quotePrefix="0" xfId="0">
      <alignment vertical="center" wrapText="1"/>
    </xf>
    <xf numFmtId="0" fontId="10" fillId="0" borderId="1" pivotButton="0" quotePrefix="0" xfId="0"/>
    <xf numFmtId="0" fontId="0" fillId="4" borderId="1" pivotButton="0" quotePrefix="0" xfId="0"/>
    <xf numFmtId="0" fontId="5" fillId="4" borderId="1" pivotButton="0" quotePrefix="0" xfId="0"/>
    <xf numFmtId="165" fontId="0" fillId="4" borderId="1" pivotButton="0" quotePrefix="0" xfId="0"/>
    <xf numFmtId="164" fontId="0" fillId="4" borderId="1" pivotButton="0" quotePrefix="0" xfId="0"/>
    <xf numFmtId="0" fontId="11" fillId="3" borderId="1" pivotButton="0" quotePrefix="0" xfId="0"/>
    <xf numFmtId="165" fontId="11" fillId="3" borderId="1" pivotButton="0" quotePrefix="0" xfId="0"/>
    <xf numFmtId="164" fontId="11" fillId="3" borderId="1" pivotButton="0" quotePrefix="0" xfId="0"/>
    <xf numFmtId="0" fontId="9" fillId="0" borderId="0" pivotButton="0" quotePrefix="0" xfId="0"/>
    <xf numFmtId="0" fontId="3" fillId="5" borderId="1" pivotButton="0" quotePrefix="0" xfId="0"/>
    <xf numFmtId="0" fontId="0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center" wrapText="1"/>
    </xf>
    <xf numFmtId="165" fontId="0" fillId="6" borderId="1" pivotButton="0" quotePrefix="0" xfId="0"/>
    <xf numFmtId="164" fontId="0" fillId="6" borderId="1" pivotButton="0" quotePrefix="0" xfId="0"/>
    <xf numFmtId="165" fontId="5" fillId="4" borderId="1" pivotButton="0" quotePrefix="0" xfId="0"/>
    <xf numFmtId="164" fontId="5" fillId="4" borderId="1" pivotButton="0" quotePrefix="0" xfId="0"/>
    <xf numFmtId="0" fontId="9" fillId="0" borderId="1" pivotButton="0" quotePrefix="0" xfId="0"/>
    <xf numFmtId="0" fontId="12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13" fillId="2" borderId="1" applyAlignment="1" pivotButton="0" quotePrefix="0" xfId="0">
      <alignment horizontal="center"/>
    </xf>
    <xf numFmtId="0" fontId="14" fillId="0" borderId="1" applyAlignment="1" pivotButton="0" quotePrefix="0" xfId="0">
      <alignment vertical="center" wrapText="1"/>
    </xf>
    <xf numFmtId="0" fontId="15" fillId="0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26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11" customWidth="1" min="4" max="4"/>
    <col width="13" customWidth="1" min="5" max="5"/>
    <col width="13" customWidth="1" min="6" max="6"/>
    <col width="26" customWidth="1" min="7" max="7"/>
  </cols>
  <sheetData>
    <row r="2">
      <c r="B2" s="1" t="inlineStr">
        <is>
          <t>Aufwandsschätzung — 4 Topics</t>
        </is>
      </c>
    </row>
    <row r="3">
      <c r="B3" s="2" t="inlineStr">
        <is>
          <t>Blitzschutz Willibald Reichenhauser GmbH · Meeting 2026-07-21</t>
        </is>
      </c>
    </row>
    <row r="5">
      <c r="B5" s="3" t="inlineStr">
        <is>
          <t>Stundensatz</t>
        </is>
      </c>
      <c r="C5" s="4" t="n">
        <v>69</v>
      </c>
      <c r="D5" s="5" t="inlineStr">
        <is>
          <t>← hier ändern, rechnet alles neu</t>
        </is>
      </c>
    </row>
    <row r="6">
      <c r="B6" s="3" t="inlineStr">
        <is>
          <t>Variante Angebots-Tool</t>
        </is>
      </c>
      <c r="C6" s="6" t="inlineStr">
        <is>
          <t>MVP</t>
        </is>
      </c>
      <c r="D6" s="5" t="inlineStr">
        <is>
          <t>← Dropdown, steuert Zeile 15 + Summe</t>
        </is>
      </c>
    </row>
    <row r="9" ht="26" customHeight="1">
      <c r="A9" t="inlineStr"/>
      <c r="B9" s="7" t="inlineStr">
        <is>
          <t>Nr.</t>
        </is>
      </c>
      <c r="C9" s="7" t="inlineStr">
        <is>
          <t>Topic</t>
        </is>
      </c>
      <c r="D9" s="7" t="inlineStr">
        <is>
          <t>Umfang</t>
        </is>
      </c>
      <c r="E9" s="7" t="inlineStr">
        <is>
          <t>Stunden</t>
        </is>
      </c>
      <c r="F9" s="7" t="inlineStr">
        <is>
          <t>Netto</t>
        </is>
      </c>
      <c r="G9" s="7" t="inlineStr">
        <is>
          <t>Brutto</t>
        </is>
      </c>
      <c r="H9" s="7" t="inlineStr">
        <is>
          <t>Status</t>
        </is>
      </c>
    </row>
    <row r="10" ht="20" customHeight="1">
      <c r="B10" s="8" t="inlineStr">
        <is>
          <t>1</t>
        </is>
      </c>
      <c r="C10" s="9" t="inlineStr">
        <is>
          <t>Zeichnerrolle / RBAC</t>
        </is>
      </c>
      <c r="D10" s="10" t="inlineStr">
        <is>
          <t>Phase 1 — Migration + Core</t>
        </is>
      </c>
      <c r="E10" s="11">
        <f>'RBAC'!D14</f>
        <v/>
      </c>
      <c r="F10" s="12">
        <f>E10*Übersicht!$C$5</f>
        <v/>
      </c>
      <c r="G10" s="12">
        <f>F10*1.2</f>
        <v/>
      </c>
      <c r="H10" s="13" t="inlineStr">
        <is>
          <t>Angebot v2 liegt vor</t>
        </is>
      </c>
    </row>
    <row r="11" ht="20" customHeight="1">
      <c r="B11" s="8" t="n"/>
      <c r="C11" s="14" t="n"/>
      <c r="D11" s="10" t="inlineStr">
        <is>
          <t>Phase 2 — Admin-UI Gruppenverwaltung</t>
        </is>
      </c>
      <c r="E11" s="11">
        <f>'RBAC'!D21</f>
        <v/>
      </c>
      <c r="F11" s="12">
        <f>E11*Übersicht!$C$5</f>
        <v/>
      </c>
      <c r="G11" s="12">
        <f>F11*1.2</f>
        <v/>
      </c>
      <c r="H11" s="13" t="inlineStr">
        <is>
          <t>optional</t>
        </is>
      </c>
    </row>
    <row r="12" ht="20" customHeight="1">
      <c r="B12" s="8" t="inlineStr">
        <is>
          <t>2</t>
        </is>
      </c>
      <c r="C12" s="9" t="inlineStr">
        <is>
          <t>Toggl — Tage nachtracken</t>
        </is>
      </c>
      <c r="D12" s="10" t="inlineStr">
        <is>
          <t>Phase 1 — MVP</t>
        </is>
      </c>
      <c r="E12" s="11">
        <f>'Toggl'!D12</f>
        <v/>
      </c>
      <c r="F12" s="12">
        <f>E12*Übersicht!$C$5</f>
        <v/>
      </c>
      <c r="G12" s="12">
        <f>F12*1.2</f>
        <v/>
      </c>
      <c r="H12" s="13" t="inlineStr">
        <is>
          <t>Angebot v2 liegt vor</t>
        </is>
      </c>
    </row>
    <row r="13" ht="20" customHeight="1">
      <c r="B13" s="8" t="n"/>
      <c r="C13" s="14" t="n"/>
      <c r="D13" s="10" t="inlineStr">
        <is>
          <t>Phase 2 — Robustheit (Upsert, Queue, Log)</t>
        </is>
      </c>
      <c r="E13" s="11">
        <f>'Toggl'!D19</f>
        <v/>
      </c>
      <c r="F13" s="12">
        <f>E13*Übersicht!$C$5</f>
        <v/>
      </c>
      <c r="G13" s="12">
        <f>F13*1.2</f>
        <v/>
      </c>
      <c r="H13" s="13" t="inlineStr">
        <is>
          <t>optional, im Meeting klären</t>
        </is>
      </c>
    </row>
    <row r="14" ht="20" customHeight="1">
      <c r="B14" s="8" t="inlineStr">
        <is>
          <t>3</t>
        </is>
      </c>
      <c r="C14" s="9" t="inlineStr">
        <is>
          <t>Termine Arbeiter / Kalender</t>
        </is>
      </c>
      <c r="D14" s="10" t="inlineStr">
        <is>
          <t>Phase 1 — Erweiterung + Kalender</t>
        </is>
      </c>
      <c r="E14" s="11">
        <f>'Terminplanung'!D17</f>
        <v/>
      </c>
      <c r="F14" s="12">
        <f>E14*Übersicht!$C$5</f>
        <v/>
      </c>
      <c r="G14" s="12">
        <f>F14*1.2</f>
        <v/>
      </c>
      <c r="H14" s="13" t="inlineStr">
        <is>
          <t>Angebot v2 liegt vor</t>
        </is>
      </c>
    </row>
    <row r="15" ht="20" customHeight="1">
      <c r="B15" s="8" t="n"/>
      <c r="C15" s="14" t="n"/>
      <c r="D15" s="10" t="inlineStr">
        <is>
          <t>Phase 2 — WhatsApp-Benachrichtigungen</t>
        </is>
      </c>
      <c r="E15" s="11">
        <f>'Terminplanung'!D25</f>
        <v/>
      </c>
      <c r="F15" s="12">
        <f>E15*Übersicht!$C$5</f>
        <v/>
      </c>
      <c r="G15" s="12">
        <f>F15*1.2</f>
        <v/>
      </c>
      <c r="H15" s="13" t="inlineStr">
        <is>
          <t>Meta-Genehmigung braucht Vorlauf</t>
        </is>
      </c>
    </row>
    <row r="16" ht="20" customHeight="1">
      <c r="B16" s="8" t="inlineStr">
        <is>
          <t>4</t>
        </is>
      </c>
      <c r="C16" s="9" t="inlineStr">
        <is>
          <t>E-Mail → Angebot</t>
        </is>
      </c>
      <c r="D16" s="10">
        <f>IF($C$6="nicht beauftragt","—","Variante: "&amp;$C$6)</f>
        <v/>
      </c>
      <c r="E16" s="11">
        <f>IF($C$6="nicht beauftragt",0,INDEX('Angebots-Tool'!$C$7:$E$7,MATCH($C$6,'Angebots-Tool'!$C$4:$E$4,0)))</f>
        <v/>
      </c>
      <c r="F16" s="12">
        <f>E16*Übersicht!$C$5</f>
        <v/>
      </c>
      <c r="G16" s="12">
        <f>F16*1.2</f>
        <v/>
      </c>
      <c r="H16" s="13" t="inlineStr">
        <is>
          <t>Planwert — Entscheidung offen</t>
        </is>
      </c>
    </row>
    <row r="18">
      <c r="B18" s="15" t="n"/>
      <c r="C18" s="16" t="inlineStr">
        <is>
          <t>Summe Topics 1–3 (Dashboard-Features)</t>
        </is>
      </c>
      <c r="D18" s="15" t="n"/>
      <c r="E18" s="17">
        <f>SUM(E10:E15)</f>
        <v/>
      </c>
      <c r="F18" s="18">
        <f>E18*Übersicht!$C$5</f>
        <v/>
      </c>
      <c r="G18" s="18">
        <f>F18*1.2</f>
        <v/>
      </c>
      <c r="H18" s="15" t="n"/>
    </row>
    <row r="19" ht="24" customHeight="1">
      <c r="B19" s="19" t="n"/>
      <c r="C19" s="19" t="inlineStr">
        <is>
          <t>Gesamt inkl. Angebots-Tool</t>
        </is>
      </c>
      <c r="D19" s="19" t="n"/>
      <c r="E19" s="20">
        <f>SUM(E10:E16)</f>
        <v/>
      </c>
      <c r="F19" s="21">
        <f>E19*Übersicht!$C$5</f>
        <v/>
      </c>
      <c r="G19" s="21">
        <f>F19*1.2</f>
        <v/>
      </c>
      <c r="H19" s="19" t="n"/>
    </row>
    <row r="21">
      <c r="C21" s="3" t="inlineStr">
        <is>
          <t>Hinweise</t>
        </is>
      </c>
    </row>
    <row r="22">
      <c r="C22" s="22" t="inlineStr">
        <is>
          <t>· Topics 1–3: Festwerte aus den Angeboten v2 (Stand 2026-07-03, nach Architektur-Analyse).</t>
        </is>
      </c>
    </row>
    <row r="23">
      <c r="C23" s="22" t="inlineStr">
        <is>
          <t>· Topic 4: Planwert = Mittelwert der Spanne. Spanne = Puffer, kein Aufschlag. Details im Blatt 'Angebots-Tool'.</t>
        </is>
      </c>
    </row>
    <row r="24">
      <c r="C24" s="22" t="inlineStr">
        <is>
          <t>· Laufende Kosten nicht enthalten: WhatsApp ~15–25 €/Monat (Topic 3), KI-Betrieb ~1–3 €/Monat (Topic 4).</t>
        </is>
      </c>
    </row>
    <row r="25">
      <c r="C25" s="22" t="inlineStr">
        <is>
          <t>· Risiko Topic 4: Liegen Alt-Angebote nur als Scan vor (kein Textlayer), kommen 10–20 h dazu.</t>
        </is>
      </c>
    </row>
    <row r="26">
      <c r="C26" s="22" t="inlineStr">
        <is>
          <t>· Brutto = netto + 20 % MwSt.</t>
        </is>
      </c>
    </row>
  </sheetData>
  <dataValidations count="1">
    <dataValidation sqref="C6" showDropDown="0" showInputMessage="0" showErrorMessage="0" allowBlank="0" type="list">
      <formula1>"MVP,Kern,Vollausbau,nicht beauftragt"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62" customWidth="1" min="3" max="3"/>
    <col width="11" customWidth="1" min="4" max="4"/>
    <col width="13" customWidth="1" min="5" max="5"/>
  </cols>
  <sheetData>
    <row r="2">
      <c r="B2" s="1" t="inlineStr">
        <is>
          <t>Topic 1 — Zeichnerrolle / Rollen- &amp; Rechteverwaltung</t>
        </is>
      </c>
    </row>
    <row r="3">
      <c r="B3" s="2" t="inlineStr">
        <is>
          <t>Angebot v2 · 2026-07-03 · hardcoded FE-Gruppen → DB-basiert, neue Gruppe „Zeichner"</t>
        </is>
      </c>
    </row>
    <row r="5">
      <c r="B5" s="23" t="inlineStr">
        <is>
          <t>Phase 1 — Migration &amp; Core (Pflicht)</t>
        </is>
      </c>
      <c r="C5" s="23" t="n"/>
      <c r="D5" s="23" t="n"/>
      <c r="E5" s="23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Stunden</t>
        </is>
      </c>
      <c r="E6" s="7" t="inlineStr">
        <is>
          <t>Betrag</t>
        </is>
      </c>
    </row>
    <row r="7">
      <c r="B7" s="24" t="inlineStr">
        <is>
          <t>1.1</t>
        </is>
      </c>
      <c r="C7" s="10" t="inlineStr">
        <is>
          <t>DB-Schema: groups + user_groups Tabellen</t>
        </is>
      </c>
      <c r="D7" s="11" t="n">
        <v>2</v>
      </c>
      <c r="E7" s="12">
        <f>D7*Übersicht!$C$5</f>
        <v/>
      </c>
    </row>
    <row r="8">
      <c r="B8" s="25" t="inlineStr">
        <is>
          <t>1.2</t>
        </is>
      </c>
      <c r="C8" s="26" t="inlineStr">
        <is>
          <t>Migration: bestehende hardcoded User/Gruppen in DB überführen</t>
        </is>
      </c>
      <c r="D8" s="27" t="n">
        <v>1</v>
      </c>
      <c r="E8" s="28">
        <f>D8*Übersicht!$C$5</f>
        <v/>
      </c>
    </row>
    <row r="9">
      <c r="B9" s="24" t="inlineStr">
        <is>
          <t>1.3</t>
        </is>
      </c>
      <c r="C9" s="10" t="inlineStr">
        <is>
          <t>BE: Gruppen beim Login aus DB laden + in MS Auth Token/Session schreiben</t>
        </is>
      </c>
      <c r="D9" s="11" t="n">
        <v>2</v>
      </c>
      <c r="E9" s="12">
        <f>D9*Übersicht!$C$5</f>
        <v/>
      </c>
    </row>
    <row r="10">
      <c r="B10" s="25" t="inlineStr">
        <is>
          <t>1.4</t>
        </is>
      </c>
      <c r="C10" s="26" t="inlineStr">
        <is>
          <t>BE: Endpoints für Gruppen-Management (Admin: User zuweisen/entfernen)</t>
        </is>
      </c>
      <c r="D10" s="27" t="n">
        <v>3</v>
      </c>
      <c r="E10" s="28">
        <f>D10*Übersicht!$C$5</f>
        <v/>
      </c>
    </row>
    <row r="11">
      <c r="B11" s="24" t="inlineStr">
        <is>
          <t>1.5</t>
        </is>
      </c>
      <c r="C11" s="10" t="inlineStr">
        <is>
          <t>FE: Hardcoded Gruppen-Checks auf DB-basierte Lösung umstellen</t>
        </is>
      </c>
      <c r="D11" s="11" t="n">
        <v>3</v>
      </c>
      <c r="E11" s="12">
        <f>D11*Übersicht!$C$5</f>
        <v/>
      </c>
    </row>
    <row r="12">
      <c r="B12" s="25" t="inlineStr">
        <is>
          <t>1.6</t>
        </is>
      </c>
      <c r="C12" s="26" t="inlineStr">
        <is>
          <t>FE: Route Guards + bedingte UI-Elemente nach Gruppe steuern</t>
        </is>
      </c>
      <c r="D12" s="27" t="n">
        <v>3</v>
      </c>
      <c r="E12" s="28">
        <f>D12*Übersicht!$C$5</f>
        <v/>
      </c>
    </row>
    <row r="13">
      <c r="B13" s="24" t="inlineStr">
        <is>
          <t>1.7</t>
        </is>
      </c>
      <c r="C13" s="10" t="inlineStr">
        <is>
          <t>FE: Zeichner-Ansicht — Baustellen sehen + Selbst-Zuweisung</t>
        </is>
      </c>
      <c r="D13" s="11" t="n">
        <v>3</v>
      </c>
      <c r="E13" s="12">
        <f>D13*Übersicht!$C$5</f>
        <v/>
      </c>
    </row>
    <row r="14">
      <c r="B14" s="16" t="n"/>
      <c r="C14" s="16" t="inlineStr">
        <is>
          <t>Zwischensumme Phase 1</t>
        </is>
      </c>
      <c r="D14" s="29">
        <f>SUM(D7:D13)</f>
        <v/>
      </c>
      <c r="E14" s="30">
        <f>D14*Übersicht!$C$5</f>
        <v/>
      </c>
    </row>
    <row r="16">
      <c r="B16" s="23" t="inlineStr">
        <is>
          <t>Phase 2 — Admin-UI: Gruppenverwaltung</t>
        </is>
      </c>
      <c r="C16" s="23" t="n"/>
      <c r="D16" s="23" t="n"/>
      <c r="E16" s="23" t="n"/>
    </row>
    <row r="17" ht="26" customHeight="1">
      <c r="B17" s="7" t="inlineStr">
        <is>
          <t>Pos.</t>
        </is>
      </c>
      <c r="C17" s="7" t="inlineStr">
        <is>
          <t>Leistung</t>
        </is>
      </c>
      <c r="D17" s="7" t="inlineStr">
        <is>
          <t>Stunden</t>
        </is>
      </c>
      <c r="E17" s="7" t="inlineStr">
        <is>
          <t>Betrag</t>
        </is>
      </c>
    </row>
    <row r="18">
      <c r="B18" s="24" t="inlineStr">
        <is>
          <t>2.1</t>
        </is>
      </c>
      <c r="C18" s="10" t="inlineStr">
        <is>
          <t>FE: User-Liste mit Gruppen-Anzeige im Admin-Dashboard</t>
        </is>
      </c>
      <c r="D18" s="11" t="n">
        <v>2</v>
      </c>
      <c r="E18" s="12">
        <f>D18*Übersicht!$C$5</f>
        <v/>
      </c>
    </row>
    <row r="19">
      <c r="B19" s="25" t="inlineStr">
        <is>
          <t>2.2</t>
        </is>
      </c>
      <c r="C19" s="26" t="inlineStr">
        <is>
          <t>FE: User einer Gruppe zuweisen / entfernen</t>
        </is>
      </c>
      <c r="D19" s="27" t="n">
        <v>3</v>
      </c>
      <c r="E19" s="28">
        <f>D19*Übersicht!$C$5</f>
        <v/>
      </c>
    </row>
    <row r="20">
      <c r="B20" s="24" t="inlineStr">
        <is>
          <t>2.3</t>
        </is>
      </c>
      <c r="C20" s="10" t="inlineStr">
        <is>
          <t>FE: Übersicht „Wer ist in welcher Gruppe"</t>
        </is>
      </c>
      <c r="D20" s="11" t="n">
        <v>1</v>
      </c>
      <c r="E20" s="12">
        <f>D20*Übersicht!$C$5</f>
        <v/>
      </c>
    </row>
    <row r="21">
      <c r="B21" s="16" t="n"/>
      <c r="C21" s="16" t="inlineStr">
        <is>
          <t>Zwischensumme Phase 2</t>
        </is>
      </c>
      <c r="D21" s="29">
        <f>SUM(D18:D20)</f>
        <v/>
      </c>
      <c r="E21" s="30">
        <f>D21*Übersicht!$C$5</f>
        <v/>
      </c>
    </row>
    <row r="23" ht="24" customHeight="1">
      <c r="B23" s="19" t="n"/>
      <c r="C23" s="19" t="inlineStr">
        <is>
          <t>Gesamt</t>
        </is>
      </c>
      <c r="D23" s="20">
        <f>D14+D21</f>
        <v/>
      </c>
      <c r="E23" s="21">
        <f>D23*Übersicht!$C$5</f>
        <v/>
      </c>
    </row>
    <row r="25">
      <c r="C25" s="3" t="inlineStr">
        <is>
          <t>Hinweise</t>
        </is>
      </c>
    </row>
    <row r="26">
      <c r="C26" s="22" t="inlineStr">
        <is>
          <t>· Gruppen: admin (Vollzugriff) · worker (eigene Baustellen, Zeiten) · designer/Zeichner (Baustellen sehen + sich selbst zuweisen).</t>
        </is>
      </c>
    </row>
    <row r="27">
      <c r="C27" s="22" t="inlineStr">
        <is>
          <t>· Rechte bleiben im Code definiert, nur die Zuordnung User→Gruppe liegt in der DB.</t>
        </is>
      </c>
    </row>
    <row r="28">
      <c r="C28" s="22" t="inlineStr">
        <is>
          <t>· Zeichner-Selbstzuweisung ist eine eigene Permission-Regel: nur Zeichner + Admin dürfen zuweisen.</t>
        </is>
      </c>
    </row>
    <row r="29">
      <c r="C29" s="22" t="inlineStr">
        <is>
          <t>· Fundament für Dashboard-Umbau (rollenbasierte Menüs) und Terminplanung (nur BO legt Termine an).</t>
        </is>
      </c>
    </row>
    <row r="30">
      <c r="C30" s="22" t="inlineStr">
        <is>
          <t>· Offen fürs Meeting: Mehrfach-Gruppenzugehörigkeit? Eigener Zeichner-View oder eingeschränkter Admin-View? Wer ist Admin?</t>
        </is>
      </c>
    </row>
    <row r="31">
      <c r="C31" s="22" t="inlineStr">
        <is>
          <t>· Der Backlog nennt für Phase 1 noch ~31 h (v1-Stand) — die 17 h sind der geprüfte v2-Wert nach Architektur-Analyse.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62" customWidth="1" min="3" max="3"/>
    <col width="11" customWidth="1" min="4" max="4"/>
    <col width="13" customWidth="1" min="5" max="5"/>
  </cols>
  <sheetData>
    <row r="2">
      <c r="B2" s="1" t="inlineStr">
        <is>
          <t>Topic 2 — Toggl: vergangene Tage nachtracken</t>
        </is>
      </c>
    </row>
    <row r="3">
      <c r="B3" s="2" t="inlineStr">
        <is>
          <t>Angebot v2 · 2026-07-03 · Admin wählt Arbeiter + Zeitraum → Export manuell auslösen</t>
        </is>
      </c>
    </row>
    <row r="5">
      <c r="B5" s="23" t="inlineStr">
        <is>
          <t>Phase 1 — MVP</t>
        </is>
      </c>
      <c r="C5" s="23" t="n"/>
      <c r="D5" s="23" t="n"/>
      <c r="E5" s="23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Stunden</t>
        </is>
      </c>
      <c r="E6" s="7" t="inlineStr">
        <is>
          <t>Betrag</t>
        </is>
      </c>
    </row>
    <row r="7">
      <c r="B7" s="24" t="inlineStr">
        <is>
          <t>1.1</t>
        </is>
      </c>
      <c r="C7" s="10" t="inlineStr">
        <is>
          <t>BE-Endpoint: manueller Export (user, Zeitraum)</t>
        </is>
      </c>
      <c r="D7" s="11" t="n">
        <v>2</v>
      </c>
      <c r="E7" s="12">
        <f>D7*Übersicht!$C$5</f>
        <v/>
      </c>
    </row>
    <row r="8">
      <c r="B8" s="25" t="inlineStr">
        <is>
          <t>1.2</t>
        </is>
      </c>
      <c r="C8" s="26" t="inlineStr">
        <is>
          <t>Toggl API-Aufruf: Token aus DB + Zeiteinträge holen (inkl. Pagination + Rate-Limit)</t>
        </is>
      </c>
      <c r="D8" s="27" t="n">
        <v>4</v>
      </c>
      <c r="E8" s="28">
        <f>D8*Übersicht!$C$5</f>
        <v/>
      </c>
    </row>
    <row r="9">
      <c r="B9" s="24" t="inlineStr">
        <is>
          <t>1.3</t>
        </is>
      </c>
      <c r="C9" s="10" t="inlineStr">
        <is>
          <t>DB-Schreibung + Tage einzeln an Power Automate schicken (Loop, bestehender Webhook)</t>
        </is>
      </c>
      <c r="D9" s="11" t="n">
        <v>3</v>
      </c>
      <c r="E9" s="12">
        <f>D9*Übersicht!$C$5</f>
        <v/>
      </c>
    </row>
    <row r="10">
      <c r="B10" s="25" t="inlineStr">
        <is>
          <t>1.4</t>
        </is>
      </c>
      <c r="C10" s="26" t="inlineStr">
        <is>
          <t>Fehlerbehandlung (ungültiger Token, keine Einträge, API-Fehler)</t>
        </is>
      </c>
      <c r="D10" s="27" t="n">
        <v>2</v>
      </c>
      <c r="E10" s="28">
        <f>D10*Übersicht!$C$5</f>
        <v/>
      </c>
    </row>
    <row r="11">
      <c r="B11" s="24" t="inlineStr">
        <is>
          <t>1.5</t>
        </is>
      </c>
      <c r="C11" s="10" t="inlineStr">
        <is>
          <t>Frontend: Arbeiter-Dropdown + Datepicker + Button + Status-Feedback</t>
        </is>
      </c>
      <c r="D11" s="11" t="n">
        <v>5</v>
      </c>
      <c r="E11" s="12">
        <f>D11*Übersicht!$C$5</f>
        <v/>
      </c>
    </row>
    <row r="12">
      <c r="B12" s="16" t="n"/>
      <c r="C12" s="16" t="inlineStr">
        <is>
          <t>Zwischensumme Phase 1</t>
        </is>
      </c>
      <c r="D12" s="29">
        <f>SUM(D7:D11)</f>
        <v/>
      </c>
      <c r="E12" s="30">
        <f>D12*Übersicht!$C$5</f>
        <v/>
      </c>
    </row>
    <row r="14">
      <c r="B14" s="23" t="inlineStr">
        <is>
          <t>Phase 2 — Robustheit (optional)</t>
        </is>
      </c>
      <c r="C14" s="23" t="n"/>
      <c r="D14" s="23" t="n"/>
      <c r="E14" s="23" t="n"/>
    </row>
    <row r="15" ht="26" customHeight="1">
      <c r="B15" s="7" t="inlineStr">
        <is>
          <t>Pos.</t>
        </is>
      </c>
      <c r="C15" s="7" t="inlineStr">
        <is>
          <t>Leistung</t>
        </is>
      </c>
      <c r="D15" s="7" t="inlineStr">
        <is>
          <t>Stunden</t>
        </is>
      </c>
      <c r="E15" s="7" t="inlineStr">
        <is>
          <t>Betrag</t>
        </is>
      </c>
    </row>
    <row r="16">
      <c r="B16" s="24" t="inlineStr">
        <is>
          <t>2.1</t>
        </is>
      </c>
      <c r="C16" s="10" t="inlineStr">
        <is>
          <t>Upsert-Logik: doppelte Einträge bei Wiederholung vermeiden</t>
        </is>
      </c>
      <c r="D16" s="11" t="n">
        <v>2</v>
      </c>
      <c r="E16" s="12">
        <f>D16*Übersicht!$C$5</f>
        <v/>
      </c>
    </row>
    <row r="17">
      <c r="B17" s="25" t="inlineStr">
        <is>
          <t>2.2</t>
        </is>
      </c>
      <c r="C17" s="26" t="inlineStr">
        <is>
          <t>Queue + Backoff für große Zeiträume (Rate-Limit)</t>
        </is>
      </c>
      <c r="D17" s="27" t="n">
        <v>2</v>
      </c>
      <c r="E17" s="28">
        <f>D17*Übersicht!$C$5</f>
        <v/>
      </c>
    </row>
    <row r="18">
      <c r="B18" s="24" t="inlineStr">
        <is>
          <t>2.3</t>
        </is>
      </c>
      <c r="C18" s="10" t="inlineStr">
        <is>
          <t>Audit-Log: wer hat wann welchen Export ausgelöst</t>
        </is>
      </c>
      <c r="D18" s="11" t="n">
        <v>1</v>
      </c>
      <c r="E18" s="12">
        <f>D18*Übersicht!$C$5</f>
        <v/>
      </c>
    </row>
    <row r="19">
      <c r="B19" s="16" t="n"/>
      <c r="C19" s="16" t="inlineStr">
        <is>
          <t>Zwischensumme Phase 2</t>
        </is>
      </c>
      <c r="D19" s="29">
        <f>SUM(D16:D18)</f>
        <v/>
      </c>
      <c r="E19" s="30">
        <f>D19*Übersicht!$C$5</f>
        <v/>
      </c>
    </row>
    <row r="21" ht="24" customHeight="1">
      <c r="B21" s="19" t="n"/>
      <c r="C21" s="19" t="inlineStr">
        <is>
          <t>Gesamt</t>
        </is>
      </c>
      <c r="D21" s="20">
        <f>D12+D19</f>
        <v/>
      </c>
      <c r="E21" s="21">
        <f>D21*Übersicht!$C$5</f>
        <v/>
      </c>
    </row>
    <row r="23">
      <c r="C23" s="3" t="inlineStr">
        <is>
          <t>Hinweise</t>
        </is>
      </c>
    </row>
    <row r="24">
      <c r="C24" s="22" t="inlineStr">
        <is>
          <t>· Kernentscheidung v2: Tage werden EINZELN an Power Automate geschickt → Flow + Excel-Script bleiben unverändert (spart 3 h Script-Umbau).</t>
        </is>
      </c>
    </row>
    <row r="25">
      <c r="C25" s="22" t="inlineStr">
        <is>
          <t>· Bestand: nächtlicher Auto-Export Toggl → DB → Power Automate → Excel; DB hält Mapping E-Mail → Toggl-API-Token, ~10 Arbeiter (Free Tier).</t>
        </is>
      </c>
    </row>
    <row r="26">
      <c r="C26" s="22" t="inlineStr">
        <is>
          <t>· Risiko: Toggl Free Tier erlaubt 1 Request/Sekunde — große Zeiträume dauern entsprechend.</t>
        </is>
      </c>
    </row>
    <row r="27">
      <c r="C27" s="22" t="inlineStr">
        <is>
          <t>· Risiko: Erneuert ein Arbeiter seinen Token, veraltet der Eintrag. Kein Auto-Sync möglich, Admin muss nachziehen.</t>
        </is>
      </c>
    </row>
    <row r="28">
      <c r="C28" s="22" t="inlineStr">
        <is>
          <t>· Offen fürs Meeting: max. Zeitraum pro Export? Phase 2 (Upsert) mitbeauftragen? Nur Admin oder auch Arbeiter selbst?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62" customWidth="1" min="3" max="3"/>
    <col width="11" customWidth="1" min="4" max="4"/>
    <col width="13" customWidth="1" min="5" max="5"/>
  </cols>
  <sheetData>
    <row r="2">
      <c r="B2" s="1" t="inlineStr">
        <is>
          <t>Topic 3 — Termine für Arbeiter erstellen &amp; verwalten</t>
        </is>
      </c>
    </row>
    <row r="3">
      <c r="B3" s="2" t="inlineStr">
        <is>
          <t>Angebot v2 · 2026-07-03 · bestehende Terminerfassung erweitern + Dashboard-Kalender (vue-cal)</t>
        </is>
      </c>
    </row>
    <row r="5">
      <c r="B5" s="23" t="inlineStr">
        <is>
          <t>Phase 1 — MVP: Erweiterung + Kalender</t>
        </is>
      </c>
      <c r="C5" s="23" t="n"/>
      <c r="D5" s="23" t="n"/>
      <c r="E5" s="23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Stunden</t>
        </is>
      </c>
      <c r="E6" s="7" t="inlineStr">
        <is>
          <t>Betrag</t>
        </is>
      </c>
    </row>
    <row r="7">
      <c r="B7" s="24" t="inlineStr">
        <is>
          <t>1.1</t>
        </is>
      </c>
      <c r="C7" s="10" t="inlineStr">
        <is>
          <t>DB: appointment_employees JOIN-Tabelle (Monteur-Zuweisung zu Termin)</t>
        </is>
      </c>
      <c r="D7" s="11" t="n">
        <v>1</v>
      </c>
      <c r="E7" s="12">
        <f>D7*Übersicht!$C$5</f>
        <v/>
      </c>
    </row>
    <row r="8">
      <c r="B8" s="25" t="inlineStr">
        <is>
          <t>1.2</t>
        </is>
      </c>
      <c r="C8" s="26" t="inlineStr">
        <is>
          <t>BE: Monteur-Zuweisung zu Termin (CRUD-Erweiterung bestehender Endpoints)</t>
        </is>
      </c>
      <c r="D8" s="27" t="n">
        <v>3</v>
      </c>
      <c r="E8" s="28">
        <f>D8*Übersicht!$C$5</f>
        <v/>
      </c>
    </row>
    <row r="9">
      <c r="B9" s="24" t="inlineStr">
        <is>
          <t>1.3</t>
        </is>
      </c>
      <c r="C9" s="10" t="inlineStr">
        <is>
          <t>FE: Termin-Dialog erweitern (Monteur-Auswahl, Mehrtages-Option)</t>
        </is>
      </c>
      <c r="D9" s="11" t="n">
        <v>3</v>
      </c>
      <c r="E9" s="12">
        <f>D9*Übersicht!$C$5</f>
        <v/>
      </c>
    </row>
    <row r="10">
      <c r="B10" s="25" t="inlineStr">
        <is>
          <t>1.4</t>
        </is>
      </c>
      <c r="C10" s="26" t="inlineStr">
        <is>
          <t>FE: Termine auf Baustellendetailseite — Monteure anzeigen + bearbeiten</t>
        </is>
      </c>
      <c r="D10" s="27" t="n">
        <v>2</v>
      </c>
      <c r="E10" s="28">
        <f>D10*Übersicht!$C$5</f>
        <v/>
      </c>
    </row>
    <row r="11">
      <c r="B11" s="24" t="inlineStr">
        <is>
          <t>1.5</t>
        </is>
      </c>
      <c r="C11" s="10" t="inlineStr">
        <is>
          <t>BE: Endpoint — Termine im Zeitraum, gruppiert nach Mitarbeiter</t>
        </is>
      </c>
      <c r="D11" s="11" t="n">
        <v>2</v>
      </c>
      <c r="E11" s="12">
        <f>D11*Übersicht!$C$5</f>
        <v/>
      </c>
    </row>
    <row r="12">
      <c r="B12" s="25" t="inlineStr">
        <is>
          <t>1.6</t>
        </is>
      </c>
      <c r="C12" s="26" t="inlineStr">
        <is>
          <t>vue-cal Integration: Wochen-/Monatsansicht, Navigation, Farbcodierung pro Monteur</t>
        </is>
      </c>
      <c r="D12" s="27" t="n">
        <v>4</v>
      </c>
      <c r="E12" s="28">
        <f>D12*Übersicht!$C$5</f>
        <v/>
      </c>
    </row>
    <row r="13">
      <c r="B13" s="24" t="inlineStr">
        <is>
          <t>1.7</t>
        </is>
      </c>
      <c r="C13" s="10" t="inlineStr">
        <is>
          <t>Gesamtansicht: alle Monteure + Filter (abwählbar per Checkbox)</t>
        </is>
      </c>
      <c r="D13" s="11" t="n">
        <v>2</v>
      </c>
      <c r="E13" s="12">
        <f>D13*Übersicht!$C$5</f>
        <v/>
      </c>
    </row>
    <row r="14">
      <c r="B14" s="25" t="inlineStr">
        <is>
          <t>1.8</t>
        </is>
      </c>
      <c r="C14" s="26" t="inlineStr">
        <is>
          <t>Einzelansicht: Monteur auswählen → nur seine Termine + freie Tage sichtbar</t>
        </is>
      </c>
      <c r="D14" s="27" t="n">
        <v>2</v>
      </c>
      <c r="E14" s="28">
        <f>D14*Übersicht!$C$5</f>
        <v/>
      </c>
    </row>
    <row r="15">
      <c r="B15" s="24" t="inlineStr">
        <is>
          <t>1.9</t>
        </is>
      </c>
      <c r="C15" s="10" t="inlineStr">
        <is>
          <t>Österreichische Feiertage (vue-cal AT-Plugin)</t>
        </is>
      </c>
      <c r="D15" s="11" t="n">
        <v>0.5</v>
      </c>
      <c r="E15" s="12">
        <f>D15*Übersicht!$C$5</f>
        <v/>
      </c>
    </row>
    <row r="16">
      <c r="B16" s="25" t="inlineStr">
        <is>
          <t>1.10</t>
        </is>
      </c>
      <c r="C16" s="26" t="inlineStr">
        <is>
          <t>Offene Termine (fuzzy) als Hinweis-Block im Kalender</t>
        </is>
      </c>
      <c r="D16" s="27" t="n">
        <v>1.5</v>
      </c>
      <c r="E16" s="28">
        <f>D16*Übersicht!$C$5</f>
        <v/>
      </c>
    </row>
    <row r="17">
      <c r="B17" s="16" t="n"/>
      <c r="C17" s="16" t="inlineStr">
        <is>
          <t>Zwischensumme Phase 1</t>
        </is>
      </c>
      <c r="D17" s="29">
        <f>SUM(D7:D16)</f>
        <v/>
      </c>
      <c r="E17" s="30">
        <f>D17*Übersicht!$C$5</f>
        <v/>
      </c>
    </row>
    <row r="19">
      <c r="B19" s="23" t="inlineStr">
        <is>
          <t>Phase 2 — WhatsApp-Benachrichtigungen</t>
        </is>
      </c>
      <c r="C19" s="23" t="n"/>
      <c r="D19" s="23" t="n"/>
      <c r="E19" s="23" t="n"/>
    </row>
    <row r="20" ht="26" customHeight="1">
      <c r="B20" s="7" t="inlineStr">
        <is>
          <t>Pos.</t>
        </is>
      </c>
      <c r="C20" s="7" t="inlineStr">
        <is>
          <t>Leistung</t>
        </is>
      </c>
      <c r="D20" s="7" t="inlineStr">
        <is>
          <t>Stunden</t>
        </is>
      </c>
      <c r="E20" s="7" t="inlineStr">
        <is>
          <t>Betrag</t>
        </is>
      </c>
    </row>
    <row r="21">
      <c r="B21" s="24" t="inlineStr">
        <is>
          <t>2.1</t>
        </is>
      </c>
      <c r="C21" s="10" t="inlineStr">
        <is>
          <t>BE: Benachrichtigung bei Termin-Zuweisung</t>
        </is>
      </c>
      <c r="D21" s="11" t="n">
        <v>2</v>
      </c>
      <c r="E21" s="12">
        <f>D21*Übersicht!$C$5</f>
        <v/>
      </c>
    </row>
    <row r="22">
      <c r="B22" s="25" t="inlineStr">
        <is>
          <t>2.2</t>
        </is>
      </c>
      <c r="C22" s="26" t="inlineStr">
        <is>
          <t>BE: Benachrichtigung bei neuer Baustellen-Notiz</t>
        </is>
      </c>
      <c r="D22" s="27" t="n">
        <v>2</v>
      </c>
      <c r="E22" s="28">
        <f>D22*Übersicht!$C$5</f>
        <v/>
      </c>
    </row>
    <row r="23">
      <c r="B23" s="24" t="inlineStr">
        <is>
          <t>2.3</t>
        </is>
      </c>
      <c r="C23" s="10" t="inlineStr">
        <is>
          <t>WhatsApp Templates + Meta-Genehmigung (2 Templates)</t>
        </is>
      </c>
      <c r="D23" s="11" t="n">
        <v>1</v>
      </c>
      <c r="E23" s="12">
        <f>D23*Übersicht!$C$5</f>
        <v/>
      </c>
    </row>
    <row r="24">
      <c r="B24" s="25" t="inlineStr">
        <is>
          <t>2.4</t>
        </is>
      </c>
      <c r="C24" s="26" t="inlineStr">
        <is>
          <t>DB: Monteur-Profile um WhatsApp-Nummer erweitern</t>
        </is>
      </c>
      <c r="D24" s="27" t="n">
        <v>1</v>
      </c>
      <c r="E24" s="28">
        <f>D24*Übersicht!$C$5</f>
        <v/>
      </c>
    </row>
    <row r="25">
      <c r="B25" s="16" t="n"/>
      <c r="C25" s="16" t="inlineStr">
        <is>
          <t>Zwischensumme Phase 2</t>
        </is>
      </c>
      <c r="D25" s="29">
        <f>SUM(D21:D24)</f>
        <v/>
      </c>
      <c r="E25" s="30">
        <f>D25*Übersicht!$C$5</f>
        <v/>
      </c>
    </row>
    <row r="27" ht="24" customHeight="1">
      <c r="B27" s="19" t="n"/>
      <c r="C27" s="19" t="inlineStr">
        <is>
          <t>Gesamt</t>
        </is>
      </c>
      <c r="D27" s="20">
        <f>D17+D25</f>
        <v/>
      </c>
      <c r="E27" s="21">
        <f>D27*Übersicht!$C$5</f>
        <v/>
      </c>
    </row>
    <row r="29">
      <c r="C29" s="3" t="inlineStr">
        <is>
          <t>Hinweise</t>
        </is>
      </c>
    </row>
    <row r="30">
      <c r="C30" s="22" t="inlineStr">
        <is>
          <t>· Terminerfassung existiert bereits in der DB → Erweiterung statt Neubau. Neu ist die Monteur-Zuweisung.</t>
        </is>
      </c>
    </row>
    <row r="31">
      <c r="C31" s="22" t="inlineStr">
        <is>
          <t>· Kundenaussage: KEINE Stundenangaben nötig — „Monteur A ist Montag auf Baustelle XY" reicht. Dauer ist wetter-/vor-Ort-abhängig und nicht planbar.</t>
        </is>
      </c>
    </row>
    <row r="32">
      <c r="C32" s="22" t="inlineStr">
        <is>
          <t>· Kundenaussage: Benachrichtigung per WhatsApp oder SMS, ausdrücklich KEIN E-Mail. Auch bei neuer Baustellen-Notiz.</t>
        </is>
      </c>
    </row>
    <row r="33">
      <c r="C33" s="22" t="inlineStr">
        <is>
          <t>· Kundenaussage: Desktop first — „momentan immer im Büro". Tablet/Mobile in fernerer Zukunft.</t>
        </is>
      </c>
    </row>
    <row r="34">
      <c r="C34" s="22" t="inlineStr">
        <is>
          <t>· Laufende Kosten Phase 2: WhatsApp ~15–25 €/Monat bei 10 Monteuren, Ø 2–3 Nachrichten/Tag.</t>
        </is>
      </c>
    </row>
    <row r="35">
      <c r="C35" s="22" t="inlineStr">
        <is>
          <t>· Nicht im Scope: Google/Outlook-Sync (eigenes Angebot), Monteur-Login mit eigener Kalenderansicht, Konflikt-Warnung bei Doppelbelegung.</t>
        </is>
      </c>
    </row>
    <row r="36">
      <c r="C36" s="22" t="inlineStr">
        <is>
          <t>· Offen fürs Meeting: Phase 2 jetzt mitbeauftragen (Meta-Genehmigung braucht Vorlauf)? Handynummern der Monteure vorhanden?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4" customWidth="1" min="3" max="3"/>
    <col width="24" customWidth="1" min="4" max="4"/>
    <col width="24" customWidth="1" min="5" max="5"/>
  </cols>
  <sheetData>
    <row r="2">
      <c r="B2" s="1" t="inlineStr">
        <is>
          <t>Topic 4 — E-Mail → Angebot: drei Ausbaustufen</t>
        </is>
      </c>
    </row>
    <row r="3">
      <c r="B3" s="2" t="inlineStr">
        <is>
          <t>Volumen ~50 Mails/Monat · Spanne = Puffer, kein Aufschlag · Von = optimistisch, Bis = realistisch</t>
        </is>
      </c>
    </row>
    <row r="4" ht="22" customHeight="1">
      <c r="B4" s="7" t="inlineStr">
        <is>
          <t>Kennzahl</t>
        </is>
      </c>
      <c r="C4" s="7" t="inlineStr">
        <is>
          <t>MVP</t>
        </is>
      </c>
      <c r="D4" s="7" t="inlineStr">
        <is>
          <t>Kern</t>
        </is>
      </c>
      <c r="E4" s="7" t="inlineStr">
        <is>
          <t>Vollausbau</t>
        </is>
      </c>
    </row>
    <row r="5">
      <c r="B5" s="31" t="inlineStr">
        <is>
          <t>Motto</t>
        </is>
      </c>
      <c r="C5" s="32" t="inlineStr">
        <is>
          <t>„Der stille Kollege"</t>
        </is>
      </c>
      <c r="D5" s="32" t="inlineStr">
        <is>
          <t>„Das Cockpit"</t>
        </is>
      </c>
      <c r="E5" s="32" t="inlineStr">
        <is>
          <t>„Der Assistent"</t>
        </is>
      </c>
    </row>
    <row r="6">
      <c r="B6" s="14" t="inlineStr">
        <is>
          <t>Stunden — von (optimistisch)</t>
        </is>
      </c>
      <c r="C6" s="33" t="n">
        <v>108</v>
      </c>
      <c r="D6" s="33" t="n">
        <v>209</v>
      </c>
      <c r="E6" s="33" t="n">
        <v>315</v>
      </c>
    </row>
    <row r="7">
      <c r="B7" s="9" t="inlineStr">
        <is>
          <t>Stunden — Planwert (Mittel)</t>
        </is>
      </c>
      <c r="C7" s="34" t="n">
        <v>142</v>
      </c>
      <c r="D7" s="34" t="n">
        <v>272</v>
      </c>
      <c r="E7" s="34" t="n">
        <v>416</v>
      </c>
    </row>
    <row r="8">
      <c r="B8" s="14" t="inlineStr">
        <is>
          <t>Stunden — bis (realistisch)</t>
        </is>
      </c>
      <c r="C8" s="33" t="n">
        <v>175</v>
      </c>
      <c r="D8" s="33" t="n">
        <v>334</v>
      </c>
      <c r="E8" s="33" t="n">
        <v>516</v>
      </c>
    </row>
    <row r="9">
      <c r="B9" s="14" t="inlineStr">
        <is>
          <t>Kosten — von</t>
        </is>
      </c>
      <c r="C9" s="35">
        <f>C6*Übersicht!$C$5</f>
        <v/>
      </c>
      <c r="D9" s="35">
        <f>D6*Übersicht!$C$5</f>
        <v/>
      </c>
      <c r="E9" s="35">
        <f>E6*Übersicht!$C$5</f>
        <v/>
      </c>
    </row>
    <row r="10">
      <c r="B10" s="9" t="inlineStr">
        <is>
          <t>Kosten — Planwert</t>
        </is>
      </c>
      <c r="C10" s="36">
        <f>C7*Übersicht!$C$5</f>
        <v/>
      </c>
      <c r="D10" s="36">
        <f>D7*Übersicht!$C$5</f>
        <v/>
      </c>
      <c r="E10" s="36">
        <f>E7*Übersicht!$C$5</f>
        <v/>
      </c>
    </row>
    <row r="11">
      <c r="B11" s="14" t="inlineStr">
        <is>
          <t>Kosten — bis</t>
        </is>
      </c>
      <c r="C11" s="35">
        <f>C8*Übersicht!$C$5</f>
        <v/>
      </c>
      <c r="D11" s="35">
        <f>D8*Übersicht!$C$5</f>
        <v/>
      </c>
      <c r="E11" s="35">
        <f>E8*Übersicht!$C$5</f>
        <v/>
      </c>
    </row>
    <row r="13">
      <c r="B13" s="23" t="inlineStr">
        <is>
          <t>Leistungsumfang im Vergleich</t>
        </is>
      </c>
      <c r="C13" s="23" t="n"/>
      <c r="D13" s="23" t="n"/>
      <c r="E13" s="23" t="n"/>
    </row>
    <row r="14" ht="30" customHeight="1">
      <c r="B14" s="37" t="inlineStr">
        <is>
          <t>Automatisiert</t>
        </is>
      </c>
      <c r="C14" s="38" t="inlineStr">
        <is>
          <t>nur eindeutige Wiederholungs-
prüfungen</t>
        </is>
      </c>
      <c r="D14" s="38" t="inlineStr">
        <is>
          <t>Wiederholungsprüfung voll,
Rest halbautomatisch</t>
        </is>
      </c>
      <c r="E14" s="38" t="inlineStr">
        <is>
          <t>alle Szenarien
inkl. Rückfragen</t>
        </is>
      </c>
    </row>
    <row r="15" ht="30" customHeight="1">
      <c r="B15" s="39" t="inlineStr">
        <is>
          <t>Cockpit im Dashboard</t>
        </is>
      </c>
      <c r="C15" s="40" t="inlineStr">
        <is>
          <t>nein (Read-only-Monitor)</t>
        </is>
      </c>
      <c r="D15" s="40" t="inlineStr">
        <is>
          <t>ja, mit Angebots-Editor</t>
        </is>
      </c>
      <c r="E15" s="40" t="inlineStr">
        <is>
          <t>ja, mit KI-Diff-Editor</t>
        </is>
      </c>
    </row>
    <row r="16" ht="30" customHeight="1">
      <c r="B16" s="37" t="inlineStr">
        <is>
          <t>Freigabe-Ort</t>
        </is>
      </c>
      <c r="C16" s="38" t="inlineStr">
        <is>
          <t>Outlook (Entwurf)</t>
        </is>
      </c>
      <c r="D16" s="38" t="inlineStr">
        <is>
          <t>Dashboard → Outlook-Entwurf</t>
        </is>
      </c>
      <c r="E16" s="38" t="inlineStr">
        <is>
          <t>Dashboard → Outlook-Entwurf</t>
        </is>
      </c>
    </row>
    <row r="17" ht="30" customHeight="1">
      <c r="B17" s="39" t="inlineStr">
        <is>
          <t>KI-Einsatz</t>
        </is>
      </c>
      <c r="C17" s="40" t="inlineStr">
        <is>
          <t>1 Call (Klassifikation)</t>
        </is>
      </c>
      <c r="D17" s="40" t="inlineStr">
        <is>
          <t>+ Anschreiben-Prosa</t>
        </is>
      </c>
      <c r="E17" s="40" t="inlineStr">
        <is>
          <t>+ strukturierte
Änderungsvorschläge</t>
        </is>
      </c>
    </row>
    <row r="18" ht="30" customHeight="1">
      <c r="B18" s="37" t="inlineStr">
        <is>
          <t>Leistungskatalog</t>
        </is>
      </c>
      <c r="C18" s="38" t="inlineStr">
        <is>
          <t>nicht nötig (nur Klonen)</t>
        </is>
      </c>
      <c r="D18" s="38" t="inlineStr">
        <is>
          <t>ja, mit Pflege-UI</t>
        </is>
      </c>
      <c r="E18" s="38" t="inlineStr">
        <is>
          <t>ja, + Textbausteine</t>
        </is>
      </c>
    </row>
    <row r="19" ht="30" customHeight="1">
      <c r="B19" s="39" t="inlineStr">
        <is>
          <t>Historie-Import</t>
        </is>
      </c>
      <c r="C19" s="40" t="inlineStr">
        <is>
          <t>letztes Angebot je Kunde</t>
        </is>
      </c>
      <c r="D19" s="40" t="inlineStr">
        <is>
          <t>letztes Angebot je Kunde</t>
        </is>
      </c>
      <c r="E19" s="40" t="inlineStr">
        <is>
          <t>vollständig, mit Review-UI</t>
        </is>
      </c>
    </row>
    <row r="20" ht="30" customHeight="1">
      <c r="B20" s="37" t="inlineStr">
        <is>
          <t>Template-Varianten</t>
        </is>
      </c>
      <c r="C20" s="38" t="inlineStr">
        <is>
          <t>1</t>
        </is>
      </c>
      <c r="D20" s="38" t="inlineStr">
        <is>
          <t>2</t>
        </is>
      </c>
      <c r="E20" s="38" t="inlineStr">
        <is>
          <t>4</t>
        </is>
      </c>
    </row>
    <row r="21" ht="30" customHeight="1">
      <c r="B21" s="39" t="inlineStr">
        <is>
          <t>Outcome-Tracking
(gewonnen/verloren)</t>
        </is>
      </c>
      <c r="C21" s="40" t="inlineStr">
        <is>
          <t>nein</t>
        </is>
      </c>
      <c r="D21" s="40" t="inlineStr">
        <is>
          <t>ja</t>
        </is>
      </c>
      <c r="E21" s="40" t="inlineStr">
        <is>
          <t>ja</t>
        </is>
      </c>
    </row>
    <row r="22" ht="30" customHeight="1">
      <c r="B22" s="37" t="inlineStr">
        <is>
          <t>Mail-Eingang</t>
        </is>
      </c>
      <c r="C22" s="38" t="inlineStr">
        <is>
          <t>Delta-Polling</t>
        </is>
      </c>
      <c r="D22" s="38" t="inlineStr">
        <is>
          <t>Delta-Polling</t>
        </is>
      </c>
      <c r="E22" s="38" t="inlineStr">
        <is>
          <t>Webhook (Sekunden-Latenz)</t>
        </is>
      </c>
    </row>
    <row r="23" ht="30" customHeight="1">
      <c r="B23" s="39" t="inlineStr">
        <is>
          <t>OCR für Scans</t>
        </is>
      </c>
      <c r="C23" s="40" t="inlineStr">
        <is>
          <t>nein</t>
        </is>
      </c>
      <c r="D23" s="40" t="inlineStr">
        <is>
          <t>nein</t>
        </is>
      </c>
      <c r="E23" s="40" t="inlineStr">
        <is>
          <t>ja</t>
        </is>
      </c>
    </row>
    <row r="25">
      <c r="B25" s="23" t="inlineStr">
        <is>
          <t>Stufenweg (empfohlen)</t>
        </is>
      </c>
      <c r="C25" s="23" t="n"/>
      <c r="D25" s="23" t="n"/>
      <c r="E25" s="23" t="n"/>
    </row>
    <row r="26">
      <c r="B26" s="9" t="inlineStr">
        <is>
          <t>Schritt 1 — MVP</t>
        </is>
      </c>
      <c r="C26" s="41">
        <f>C7*Übersicht!$C$5</f>
        <v/>
      </c>
      <c r="D26" s="13" t="inlineStr">
        <is>
          <t>beweist den Wert am häufigsten Fall, minimales Risiko</t>
        </is>
      </c>
      <c r="E26" s="42" t="n"/>
    </row>
    <row r="27">
      <c r="B27" s="9" t="inlineStr">
        <is>
          <t>Schritt 2 — Delta auf Kern</t>
        </is>
      </c>
      <c r="C27" s="41">
        <f>(D7-C7)*Übersicht!$C$5</f>
        <v/>
      </c>
      <c r="D27" s="13" t="inlineStr">
        <is>
          <t>Cockpit, Editor, Katalog, Outcome-Tracking</t>
        </is>
      </c>
      <c r="E27" s="42" t="n"/>
    </row>
    <row r="28">
      <c r="B28" s="9" t="inlineStr">
        <is>
          <t>Schritt 3 — Delta auf Vollausbau</t>
        </is>
      </c>
      <c r="C28" s="41">
        <f>(E7-D7)*Übersicht!$C$5</f>
        <v/>
      </c>
      <c r="D28" s="13" t="inlineStr">
        <is>
          <t>KI-Vorschläge, Rückfragen, Komfort</t>
        </is>
      </c>
      <c r="E28" s="42" t="n"/>
    </row>
    <row r="31">
      <c r="B31" s="3" t="inlineStr">
        <is>
          <t>Prinzipien (gelten für alle Varianten)</t>
        </is>
      </c>
    </row>
    <row r="32">
      <c r="B32" s="22" t="inlineStr">
        <is>
          <t>· Der Mensch entscheidet, das System bereitet vor — nie Auto-Send.</t>
        </is>
      </c>
    </row>
    <row r="33">
      <c r="B33" s="22" t="inlineStr">
        <is>
          <t>· Preise kommen nie von der KI: deterministisch aus der DB (letztes Angebot oder Leistungskatalog). Die KI klassifiziert und formuliert, Zahlen rechnet der Code.</t>
        </is>
      </c>
    </row>
    <row r="34">
      <c r="B34" s="22" t="inlineStr">
        <is>
          <t>· Datenschutz by Design: dediziertes Postfach anfragen@ mit Application Access Policy — office@ ist technisch nicht lesbar. Azure OpenAI in EU-Region.</t>
        </is>
      </c>
    </row>
    <row r="35">
      <c r="B35" s="22" t="inlineStr">
        <is>
          <t>· Kein Agent-Framework, sondern deterministische State-Machine auf dem Bestands-Stack (Node/TS, MySQL, Nuxt, Docker/VPS) — voll auditierbar.</t>
        </is>
      </c>
    </row>
    <row r="36">
      <c r="B36" s="22" t="inlineStr">
        <is>
          <t>· Additiver Ausbau: Datenmodell in allen Varianten nahezu identisch, jede Stufe echte Teilmenge der nächsten.</t>
        </is>
      </c>
    </row>
    <row r="38">
      <c r="B38" s="3" t="inlineStr">
        <is>
          <t>Risiken &amp; Voraussetzungen</t>
        </is>
      </c>
    </row>
    <row r="39">
      <c r="B39" s="22" t="inlineStr">
        <is>
          <t>· GRÖSSTES RISIKO: Import der Alt-Angebote. Schätzung gilt für PDFs mit Textlayer bzw. Excel-Altbestand. Nur als Scan: +10–20 h. → vor Beauftragung mit 2–3 echten Alt-PDFs verifizieren.</t>
        </is>
      </c>
    </row>
    <row r="40">
      <c r="B40" s="22" t="inlineStr">
        <is>
          <t>· 15k-Ziel beim Kern: entspricht dem Planwert der reinen Entwicklung (182–289 h, ~16.250 €). Darstellbar als Budget-Deckel mit priorisiertem Backlog + Begleitung (27–45 h) nach Aufwand. Als Festpreis inkl. Begleitung wäre 15k am optimistischen Rand — davon ist abzuraten.</t>
        </is>
      </c>
    </row>
    <row r="41">
      <c r="B41" s="22" t="inlineStr">
        <is>
          <t>· Kundenseitig nötig: Azure/M365-Tenant-Zugriff (Admin-Consent), 2–3 anonymisierte Beispiel-Angebote, Kundenliste als Excel, Carina verfügbar für Workshop + Pilotphase.</t>
        </is>
      </c>
    </row>
    <row r="42">
      <c r="B42" s="22" t="inlineStr">
        <is>
          <t>· Nicht enthalten: M365-Lizenzen, KI-Betriebskosten (~1–3 €/Monat), Wartung nach der Einführungsphase.</t>
        </is>
      </c>
    </row>
    <row r="43">
      <c r="B43" s="22" t="inlineStr">
        <is>
          <t>· Basis der Schätzung: 1 erfahrener Full-Stack-Entwickler auf dem Bestands-Stack; das vorhandene voice_requests-Feature dient als erprobte Vorlage für Architektur und UI-Muster.</t>
        </is>
      </c>
    </row>
  </sheetData>
  <mergeCells count="3">
    <mergeCell ref="D28:E28"/>
    <mergeCell ref="D26:E26"/>
    <mergeCell ref="D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2026-07-21T13:03:26Z</dcterms:created>
  <dcterms:modified xsi:type="dcterms:W3CDTF">2026-07-21T13:03:26Z</dcterms:modified>
</cp:coreProperties>
</file>