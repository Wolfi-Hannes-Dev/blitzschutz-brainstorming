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Fundament" sheetId="2" state="visible" r:id="rId2"/>
    <sheet name="RBAC" sheetId="3" state="visible" r:id="rId3"/>
    <sheet name="Toggl" sheetId="4" state="visible" r:id="rId4"/>
    <sheet name="Terminplanung" sheetId="5" state="visible" r:id="rId5"/>
    <sheet name="Angebots-To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"/>
    <numFmt numFmtId="165" formatCode="0.0&quot; h&quot;"/>
    <numFmt numFmtId="166" formatCode="+0.0&quot; h&quot;;-0.0&quot; h&quot;;&quot;±0 h&quot;"/>
  </numFmts>
  <fonts count="23">
    <font>
      <name val="Calibri"/>
      <family val="2"/>
      <color theme="1"/>
      <sz val="11"/>
      <scheme val="minor"/>
    </font>
    <font>
      <b val="1"/>
      <color rgb="001F3864"/>
      <sz val="15"/>
    </font>
    <font>
      <color rgb="00666666"/>
      <sz val="10"/>
    </font>
    <font>
      <b val="1"/>
      <color rgb="00375623"/>
      <sz val="10"/>
    </font>
    <font>
      <color rgb="00666666"/>
      <sz val="9"/>
    </font>
    <font>
      <b val="1"/>
      <color rgb="001F3864"/>
    </font>
    <font>
      <b val="1"/>
      <color rgb="00FFFFFF"/>
      <sz val="11"/>
    </font>
    <font>
      <b val="1"/>
      <sz val="10"/>
    </font>
    <font>
      <color rgb="00888888"/>
      <sz val="10"/>
    </font>
    <font>
      <b val="1"/>
      <color rgb="00BF8F00"/>
    </font>
    <font>
      <b val="1"/>
      <color rgb="00C00000"/>
    </font>
    <font>
      <sz val="10"/>
    </font>
    <font>
      <b val="1"/>
      <color rgb="00375623"/>
    </font>
    <font>
      <b val="1"/>
      <color rgb="001F3864"/>
      <sz val="11"/>
    </font>
    <font>
      <b val="1"/>
      <color rgb="00FFFFFF"/>
      <sz val="12"/>
    </font>
    <font>
      <b val="1"/>
      <color rgb="001F3864"/>
      <sz val="10"/>
    </font>
    <font>
      <color rgb="00BF8F00"/>
      <sz val="9"/>
    </font>
    <font>
      <color rgb="00888888"/>
      <sz val="9"/>
    </font>
    <font>
      <i val="1"/>
      <color rgb="00BF8F00"/>
      <sz val="9"/>
    </font>
    <font/>
    <font>
      <b val="1"/>
    </font>
    <font>
      <b val="1"/>
      <color rgb="001F3864"/>
      <sz val="12"/>
    </font>
    <font>
      <b val="1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165" fontId="8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6" fontId="9" fillId="0" borderId="1" pivotButton="0" quotePrefix="0" xfId="0"/>
    <xf numFmtId="164" fontId="0" fillId="0" borderId="1" pivotButton="0" quotePrefix="0" xfId="0"/>
    <xf numFmtId="0" fontId="4" fillId="0" borderId="1" applyAlignment="1" pivotButton="0" quotePrefix="0" xfId="0">
      <alignment vertical="center" wrapText="1"/>
    </xf>
    <xf numFmtId="166" fontId="10" fillId="0" borderId="1" pivotButton="0" quotePrefix="0" xfId="0"/>
    <xf numFmtId="0" fontId="11" fillId="0" borderId="1" pivotButton="0" quotePrefix="0" xfId="0"/>
    <xf numFmtId="166" fontId="12" fillId="0" borderId="1" pivotButton="0" quotePrefix="0" xfId="0"/>
    <xf numFmtId="0" fontId="13" fillId="4" borderId="1" pivotButton="0" quotePrefix="0" xfId="0"/>
    <xf numFmtId="165" fontId="13" fillId="4" borderId="1" applyAlignment="1" pivotButton="0" quotePrefix="0" xfId="0">
      <alignment horizontal="center"/>
    </xf>
    <xf numFmtId="166" fontId="13" fillId="4" borderId="1" applyAlignment="1" pivotButton="0" quotePrefix="0" xfId="0">
      <alignment horizontal="center"/>
    </xf>
    <xf numFmtId="164" fontId="13" fillId="4" borderId="1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  <xf numFmtId="0" fontId="14" fillId="3" borderId="1" pivotButton="0" quotePrefix="0" xfId="0"/>
    <xf numFmtId="165" fontId="14" fillId="3" borderId="1" applyAlignment="1" pivotButton="0" quotePrefix="0" xfId="0">
      <alignment horizontal="center"/>
    </xf>
    <xf numFmtId="166" fontId="14" fillId="3" borderId="1" applyAlignment="1" pivotButton="0" quotePrefix="0" xfId="0">
      <alignment horizontal="center"/>
    </xf>
    <xf numFmtId="164" fontId="14" fillId="3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5" fillId="5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165" fontId="17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165" fontId="17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vertical="center" wrapText="1"/>
    </xf>
    <xf numFmtId="0" fontId="0" fillId="4" borderId="1" pivotButton="0" quotePrefix="0" xfId="0"/>
    <xf numFmtId="0" fontId="5" fillId="4" borderId="1" pivotButton="0" quotePrefix="0" xfId="0"/>
    <xf numFmtId="165" fontId="5" fillId="4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4" fillId="0" borderId="1" pivotButton="0" quotePrefix="0" xfId="0"/>
    <xf numFmtId="0" fontId="18" fillId="0" borderId="1" applyAlignment="1" pivotButton="0" quotePrefix="0" xfId="0">
      <alignment horizontal="center"/>
    </xf>
    <xf numFmtId="0" fontId="19" fillId="0" borderId="1" pivotButton="0" quotePrefix="0" xfId="0"/>
    <xf numFmtId="0" fontId="20" fillId="0" borderId="1" pivotButton="0" quotePrefix="0" xfId="0"/>
    <xf numFmtId="165" fontId="5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21" fillId="2" borderId="1" applyAlignment="1" pivotButton="0" quotePrefix="0" xfId="0">
      <alignment horizontal="center"/>
    </xf>
    <xf numFmtId="0" fontId="2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3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58" customWidth="1" min="9" max="9"/>
  </cols>
  <sheetData>
    <row r="2">
      <c r="B2" s="1" t="inlineStr">
        <is>
          <t>Aufwandsschätzung — 4 Topics (nach Code-Analyse)</t>
        </is>
      </c>
    </row>
    <row r="3">
      <c r="B3" s="2" t="inlineStr">
        <is>
          <t>Blitzschutz Willibald Reichenhauser GmbH · laufende Schätzung, Stand 2026-07-27 · Gegenprüfung der Angebote v2 am Bestandscode</t>
        </is>
      </c>
    </row>
    <row r="4" ht="30" customHeight="1">
      <c r="B4" s="3" t="inlineStr">
        <is>
          <t>Stand 2026-07-27: Terminplanung um Phase 3 (Mitarbeiter-Kalenderansicht, Reuse der Admin-Kalender-Komponente) erweitert. Alle FE-Positionen gegen den Live-Stand (f11dd3f, 10.05.2026, ~6.400 Zeilen) bewertet.</t>
        </is>
      </c>
    </row>
    <row r="5">
      <c r="B5" t="inlineStr">
        <is>
          <t>Stundensatz</t>
        </is>
      </c>
      <c r="C5" s="4" t="n">
        <v>69</v>
      </c>
      <c r="D5" s="5" t="inlineStr">
        <is>
          <t>← ändern rechnet alles neu</t>
        </is>
      </c>
    </row>
    <row r="6">
      <c r="B6" t="inlineStr">
        <is>
          <t>Auth-Variante</t>
        </is>
      </c>
      <c r="C6" s="6" t="inlineStr">
        <is>
          <t>A</t>
        </is>
      </c>
      <c r="D6" s="5" t="inlineStr">
        <is>
          <t>← A = RBAC bleibt Anzeige-Logik · B = serverseitig durchgesetzt</t>
        </is>
      </c>
    </row>
    <row r="7">
      <c r="B7" t="inlineStr">
        <is>
          <t>Variante Angebots-Tool</t>
        </is>
      </c>
      <c r="C7" s="6" t="inlineStr">
        <is>
          <t>MVP</t>
        </is>
      </c>
      <c r="D7" s="5" t="inlineStr">
        <is>
          <t>← steuert Zeile Angebots-Tool</t>
        </is>
      </c>
    </row>
    <row r="10" ht="30" customHeight="1">
      <c r="B10" s="7" t="inlineStr">
        <is>
          <t>Topic</t>
        </is>
      </c>
      <c r="C10" s="7" t="inlineStr">
        <is>
          <t>Angebot v2</t>
        </is>
      </c>
      <c r="D10" s="7" t="inlineStr">
        <is>
          <t>Neu von</t>
        </is>
      </c>
      <c r="E10" s="7" t="inlineStr">
        <is>
          <t>Neu bis</t>
        </is>
      </c>
      <c r="F10" s="7" t="inlineStr">
        <is>
          <t>Neu Plan</t>
        </is>
      </c>
      <c r="G10" s="7" t="inlineStr">
        <is>
          <t>Δ Plan</t>
        </is>
      </c>
      <c r="H10" s="7" t="inlineStr">
        <is>
          <t>Netto Plan</t>
        </is>
      </c>
      <c r="I10" s="7" t="inlineStr">
        <is>
          <t>Befund aus der Code-Analyse</t>
        </is>
      </c>
    </row>
    <row r="11" ht="30" customHeight="1">
      <c r="B11" s="8" t="inlineStr">
        <is>
          <t>0 · Fundament (neu)</t>
        </is>
      </c>
      <c r="C11" s="9" t="n"/>
      <c r="D11" s="10">
        <f>'Fundament'!E11</f>
        <v/>
      </c>
      <c r="E11" s="10">
        <f>'Fundament'!F11</f>
        <v/>
      </c>
      <c r="F11" s="11">
        <f>AVERAGE(D11:E11)</f>
        <v/>
      </c>
      <c r="G11" s="12">
        <f>IF(C11=0,"",F11-C11)</f>
        <v/>
      </c>
      <c r="H11" s="13">
        <f>F11*Übersicht!$C$5</f>
        <v/>
      </c>
      <c r="I11" s="14" t="inlineStr">
        <is>
          <t>Auth und Schreibpfad existieren bereits. Es fehlt nur ein Layout für neue Seiten sowie eine Toast-/Validierungs-Konvention.</t>
        </is>
      </c>
    </row>
    <row r="12" ht="30" customHeight="1">
      <c r="B12" s="8" t="inlineStr">
        <is>
          <t>1 · Zeichnerrolle / RBAC</t>
        </is>
      </c>
      <c r="C12" s="9" t="n">
        <v>23</v>
      </c>
      <c r="D12" s="10">
        <f>'RBAC'!E15</f>
        <v/>
      </c>
      <c r="E12" s="10">
        <f>'RBAC'!F15</f>
        <v/>
      </c>
      <c r="F12" s="11">
        <f>AVERAGE(D12:E12)</f>
        <v/>
      </c>
      <c r="G12" s="15">
        <f>IF(C12=0,"",F12-C12)</f>
        <v/>
      </c>
      <c r="H12" s="13">
        <f>F12*Übersicht!$C$5</f>
        <v/>
      </c>
      <c r="I12" s="14" t="inlineStr">
        <is>
          <t>BE hat keine Identität (ein Shared Secret für alle). FE hat bereits Rollen-Guards, aber zwei hardcodierte E-Mail-Listen.</t>
        </is>
      </c>
    </row>
    <row r="13" ht="30" customHeight="1">
      <c r="B13" s="16" t="inlineStr">
        <is>
          <t xml:space="preserve">   └ Auth-Härtung (nur Variante B)</t>
        </is>
      </c>
      <c r="C13" s="9" t="n"/>
      <c r="D13" s="10">
        <f>IF($C$6="B",'RBAC'!E23,0)</f>
        <v/>
      </c>
      <c r="E13" s="10">
        <f>IF($C$6="B",'RBAC'!F23,0)</f>
        <v/>
      </c>
      <c r="F13" s="11">
        <f>AVERAGE(D13:E13)</f>
        <v/>
      </c>
      <c r="G13" s="12">
        <f>IF(C13=0,"",F13-C13)</f>
        <v/>
      </c>
      <c r="H13" s="13">
        <f>F13*Übersicht!$C$5</f>
        <v/>
      </c>
      <c r="I13" s="14" t="inlineStr">
        <is>
          <t>Nur bei Variante B: MSAL-Token serverseitig validieren, 30 Bestandsrouten migrieren.</t>
        </is>
      </c>
    </row>
    <row r="14" ht="30" customHeight="1">
      <c r="B14" s="8" t="inlineStr">
        <is>
          <t>2 · Toggl nachtracken</t>
        </is>
      </c>
      <c r="C14" s="9" t="n">
        <v>21</v>
      </c>
      <c r="D14" s="10">
        <f>'Toggl'!E16</f>
        <v/>
      </c>
      <c r="E14" s="10">
        <f>'Toggl'!F16</f>
        <v/>
      </c>
      <c r="F14" s="11">
        <f>AVERAGE(D14:E14)</f>
        <v/>
      </c>
      <c r="G14" s="17">
        <f>IF(C14=0,"",F14-C14)</f>
        <v/>
      </c>
      <c r="H14" s="13">
        <f>F14*Übersicht!$C$5</f>
        <v/>
      </c>
      <c r="I14" s="14" t="inlineStr">
        <is>
          <t>Bestätigt. Zeitraum-Abruf, Upsert und Tages-Payload existieren produktiv.</t>
        </is>
      </c>
    </row>
    <row r="15" ht="30" customHeight="1">
      <c r="B15" s="8" t="inlineStr">
        <is>
          <t>3 · Termine / Kalender + Mitarbeiter-Kalender</t>
        </is>
      </c>
      <c r="C15" s="9" t="n">
        <v>27</v>
      </c>
      <c r="D15" s="10">
        <f>'Terminplanung'!E37</f>
        <v/>
      </c>
      <c r="E15" s="10">
        <f>'Terminplanung'!F37</f>
        <v/>
      </c>
      <c r="F15" s="11">
        <f>AVERAGE(D15:E15)</f>
        <v/>
      </c>
      <c r="G15" s="15">
        <f>IF(C15=0,"",F15-C15)</f>
        <v/>
      </c>
      <c r="H15" s="13">
        <f>F15*Übersicht!$C$5</f>
        <v/>
      </c>
      <c r="I15" s="14" t="inlineStr">
        <is>
          <t>Keine appointments-Tabelle (3 Textspalten auf projects). UNIQUE KEY blockiert Mehrfachtermine. Mitarbeiter-Kalender = Phase 3 (Reuse der Admin-Kalender-Komponente).</t>
        </is>
      </c>
    </row>
    <row r="16" ht="30" customHeight="1">
      <c r="B16" s="8" t="inlineStr">
        <is>
          <t>4 · E-Mail → Angebot</t>
        </is>
      </c>
      <c r="C16" s="9" t="n"/>
      <c r="D16" s="10">
        <f>IF($C$7="nicht beauftragt",0,INDEX('Angebots-Tool'!$C$6:$E$6,MATCH($C$7,'Angebots-Tool'!$C$4:$E$4,0)))</f>
        <v/>
      </c>
      <c r="E16" s="10">
        <f>IF($C$7="nicht beauftragt",0,INDEX('Angebots-Tool'!$C$8:$E$8,MATCH($C$7,'Angebots-Tool'!$C$4:$E$4,0)))</f>
        <v/>
      </c>
      <c r="F16" s="11">
        <f>AVERAGE(D16:E16)</f>
        <v/>
      </c>
      <c r="G16" s="12">
        <f>IF(C16=0,"",F16-C16)</f>
        <v/>
      </c>
      <c r="H16" s="13">
        <f>F16*Übersicht!$C$5</f>
        <v/>
      </c>
      <c r="I16" s="14" t="inlineStr">
        <is>
          <t>Spanne unverändert übernommen. Zwei Annahmen darin sind widerlegt — siehe Blatt.</t>
        </is>
      </c>
    </row>
    <row r="18" ht="22" customHeight="1">
      <c r="B18" s="18" t="inlineStr">
        <is>
          <t>Summe Topics 1–3 + Fundament</t>
        </is>
      </c>
      <c r="C18" s="19">
        <f>SUM(C11:C16)</f>
        <v/>
      </c>
      <c r="D18" s="19">
        <f>SUM(D11:D15)</f>
        <v/>
      </c>
      <c r="E18" s="19">
        <f>SUM(E11:E15)</f>
        <v/>
      </c>
      <c r="F18" s="19">
        <f>AVERAGE(D18:E18)</f>
        <v/>
      </c>
      <c r="G18" s="20">
        <f>F18-C18</f>
        <v/>
      </c>
      <c r="H18" s="21">
        <f>F18*Übersicht!$C$5</f>
        <v/>
      </c>
      <c r="I18" s="22" t="n"/>
    </row>
    <row r="19" ht="22" customHeight="1">
      <c r="B19" s="23" t="inlineStr">
        <is>
          <t>Gesamt inkl. Angebots-Tool</t>
        </is>
      </c>
      <c r="C19" s="24">
        <f>SUM(C11:C16)</f>
        <v/>
      </c>
      <c r="D19" s="24">
        <f>SUM(D11:D16)</f>
        <v/>
      </c>
      <c r="E19" s="24">
        <f>SUM(E11:E16)</f>
        <v/>
      </c>
      <c r="F19" s="24">
        <f>AVERAGE(D19:E19)</f>
        <v/>
      </c>
      <c r="G19" s="25">
        <f>F19-C19</f>
        <v/>
      </c>
      <c r="H19" s="26">
        <f>F19*Übersicht!$C$5</f>
        <v/>
      </c>
      <c r="I19" s="27" t="n"/>
    </row>
    <row r="22">
      <c r="B22" s="28" t="inlineStr">
        <is>
          <t>Wie diese Zahlen zustande kommen</t>
        </is>
      </c>
    </row>
    <row r="23">
      <c r="B23" s="5" t="inlineStr">
        <is>
          <t>· Spalte „Angebot v2" = die bisherigen Zahlen (Stand 2026-07-03). Spalte „Neu" = Gegenprüfung anhand des tatsächlichen Codes.</t>
        </is>
      </c>
    </row>
    <row r="24">
      <c r="B24" s="5" t="inlineStr">
        <is>
          <t>· Plan = Mittelwert aus von/bis. Die Spanne ist der Puffer, kein Aufschlag.</t>
        </is>
      </c>
    </row>
    <row r="25">
      <c r="B25" s="5" t="inlineStr">
        <is>
          <t>· 2026-07-27: Mitarbeiter-Kalender als Phase 3 der Terminplanung ergänzt (+8–14 h). Baut auf Phase 1 auf, reine Wiederverwendung.</t>
        </is>
      </c>
    </row>
    <row r="26">
      <c r="B26" s="5" t="inlineStr">
        <is>
          <t>· Geschätzt von Claude auf Basis einer Code-Analyse — NICHT von Wolfi, der die v2-Zahlen erstellt hat und den Kunden kennt.</t>
        </is>
      </c>
    </row>
    <row r="27">
      <c r="B27" s="5" t="inlineStr">
        <is>
          <t>· Vor Kundenkontakt gegenprüfen. Gedacht als Gegenprüfung, nicht als Ersatz.</t>
        </is>
      </c>
    </row>
    <row r="28">
      <c r="B28" s="5" t="inlineStr">
        <is>
          <t>· Das Fundament überschneidet sich teilweise mit dem Roadmap-Punkt „Dashboard-Umbau" (25 h) — nicht doppelt kalkulieren.</t>
        </is>
      </c>
    </row>
    <row r="29">
      <c r="B29" s="5" t="inlineStr">
        <is>
          <t>· Nicht enthalten: Dashboard-Umbau, PM, Schulung, Wartung.</t>
        </is>
      </c>
    </row>
    <row r="31">
      <c r="B31" s="3" t="inlineStr">
        <is>
          <t>✓ Frontend-Repo geklärt</t>
        </is>
      </c>
    </row>
    <row r="32">
      <c r="B32" s="5" t="inlineStr">
        <is>
          <t>Maßgeblich ist der Live-Checkout /blitzschutz_frontend (f11dd3f, 10.05.2026). Der zuerst analysierte Ordner github_be_fe/… war ein 8 Monate alter Stand desselben Repos.</t>
        </is>
      </c>
    </row>
    <row r="33">
      <c r="B33" s="29" t="inlineStr">
        <is>
          <t>Offen: die Middleware wurde nicht neu gefetcht (Stand 03.06.2026). Backend-Befunde können bis zu einige Wochen alt sein.</t>
        </is>
      </c>
    </row>
  </sheetData>
  <mergeCells count="1">
    <mergeCell ref="B4:I4"/>
  </mergeCells>
  <dataValidations count="2">
    <dataValidation sqref="C6" showDropDown="0" showInputMessage="0" showErrorMessage="0" allowBlank="0" type="list">
      <formula1>"A,B"</formula1>
    </dataValidation>
    <dataValidation sqref="C7" showDropDown="0" showInputMessage="0" showErrorMessage="0" allowBlank="0" type="list">
      <formula1>"MVP,Kern,Vollausbau,nicht beauftragt"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52" customWidth="1" min="3" max="3"/>
    <col width="10" customWidth="1" min="4" max="4"/>
    <col width="9" customWidth="1" min="5" max="5"/>
    <col width="9" customWidth="1" min="6" max="6"/>
    <col width="52" customWidth="1" min="7" max="7"/>
  </cols>
  <sheetData>
    <row r="2">
      <c r="B2" s="1" t="inlineStr">
        <is>
          <t>Topic 0 — Fundament (im Angebot v2 nicht enthalten)</t>
        </is>
      </c>
    </row>
    <row r="3">
      <c r="B3" s="2" t="inlineStr">
        <is>
          <t>Vorarbeit, ohne die kein einziges der vier Features im Frontend landen kann</t>
        </is>
      </c>
    </row>
    <row r="5">
      <c r="B5" s="30" t="inlineStr">
        <is>
          <t>Phase 0 — Voraussetzungen</t>
        </is>
      </c>
      <c r="C5" s="30" t="n"/>
      <c r="D5" s="30" t="n"/>
      <c r="E5" s="30" t="n"/>
      <c r="F5" s="30" t="n"/>
      <c r="G5" s="30" t="n"/>
    </row>
    <row r="6" ht="26" customHeight="1">
      <c r="B6" s="7" t="inlineStr">
        <is>
          <t>Pos.</t>
        </is>
      </c>
      <c r="C6" s="7" t="inlineStr">
        <is>
          <t>Leistung</t>
        </is>
      </c>
      <c r="D6" s="7" t="inlineStr">
        <is>
          <t>Angebot v2</t>
        </is>
      </c>
      <c r="E6" s="7" t="inlineStr">
        <is>
          <t>von</t>
        </is>
      </c>
      <c r="F6" s="7" t="inlineStr">
        <is>
          <t>bis</t>
        </is>
      </c>
      <c r="G6" s="7" t="inlineStr">
        <is>
          <t>Befund / Begründung</t>
        </is>
      </c>
    </row>
    <row r="7" ht="28" customHeight="1">
      <c r="B7" s="31" t="inlineStr">
        <is>
          <t>F1</t>
        </is>
      </c>
      <c r="C7" s="32" t="inlineStr">
        <is>
          <t>Layout / Navigation extrahieren (Basis für neue Seiten)</t>
        </is>
      </c>
      <c r="D7" s="33" t="n"/>
      <c r="E7" s="10" t="n">
        <v>5</v>
      </c>
      <c r="F7" s="10" t="n">
        <v>8</v>
      </c>
      <c r="G7" s="14" t="inlineStr">
        <is>
          <t>App.vue = 25 Zeilen (router-view + ScrollToTop). Jede View dupliziert ~40 Zeilen Header-Chrome. Neue Seiten brauchen vorher ein Layout.</t>
        </is>
      </c>
    </row>
    <row r="8" ht="28" customHeight="1">
      <c r="B8" s="34" t="inlineStr">
        <is>
          <t>F2</t>
        </is>
      </c>
      <c r="C8" s="35" t="inlineStr">
        <is>
          <t>Toast-/Feedback- und Validierungs-Konvention etablieren</t>
        </is>
      </c>
      <c r="D8" s="36" t="n"/>
      <c r="E8" s="37" t="n">
        <v>2</v>
      </c>
      <c r="F8" s="37" t="n">
        <v>4</v>
      </c>
      <c r="G8" s="38" t="inlineStr">
        <is>
          <t>Kein Toast-System, keine Validierungsbibliothek. Fehler werden je Komponente inline gerendert, in EmployeeAssignment.vue:192 nur als console.error.</t>
        </is>
      </c>
    </row>
    <row r="9" ht="28" customHeight="1">
      <c r="B9" s="31" t="inlineStr">
        <is>
          <t>F3</t>
        </is>
      </c>
      <c r="C9" s="32" t="inlineStr">
        <is>
          <t>ENTFÄLLT — FE↔BE-Auth existiert</t>
        </is>
      </c>
      <c r="D9" s="33" t="n"/>
      <c r="E9" s="10" t="n">
        <v>0</v>
      </c>
      <c r="F9" s="10" t="n">
        <v>0</v>
      </c>
      <c r="G9" s="14" t="inlineStr">
        <is>
          <t>apiClient.ts:46-48 sendet Bearer VITE_API_TOKEN. Ursprünglich mit 3-5 h angesetzt.</t>
        </is>
      </c>
    </row>
    <row r="10" ht="28" customHeight="1">
      <c r="B10" s="34" t="inlineStr">
        <is>
          <t>F4</t>
        </is>
      </c>
      <c r="C10" s="35" t="inlineStr">
        <is>
          <t>ENTFÄLLT — Schreibpfad zur API existiert</t>
        </is>
      </c>
      <c r="D10" s="36" t="n"/>
      <c r="E10" s="37" t="n">
        <v>0</v>
      </c>
      <c r="F10" s="37" t="n">
        <v>0</v>
      </c>
      <c r="G10" s="38" t="inlineStr">
        <is>
          <t>5 Schreib-Aufrufe an die Middleware, u.a. PUT projects/{id} und PUT construction-sites/{id}. Ursprünglich mit 4-6 h angesetzt.</t>
        </is>
      </c>
    </row>
    <row r="11">
      <c r="B11" s="39" t="n"/>
      <c r="C11" s="40" t="inlineStr">
        <is>
          <t>Zwischensumme Phase 0</t>
        </is>
      </c>
      <c r="D11" s="41">
        <f>SUM(D7:D10)</f>
        <v/>
      </c>
      <c r="E11" s="41">
        <f>SUM(E7:E10)</f>
        <v/>
      </c>
      <c r="F11" s="41">
        <f>SUM(F7:F10)</f>
        <v/>
      </c>
      <c r="G11" s="39" t="n"/>
    </row>
    <row r="13" ht="24" customHeight="1">
      <c r="B13" s="23" t="n"/>
      <c r="C13" s="23" t="inlineStr">
        <is>
          <t>Gesamt</t>
        </is>
      </c>
      <c r="D13" s="24">
        <f>D11</f>
        <v/>
      </c>
      <c r="E13" s="24">
        <f>E11</f>
        <v/>
      </c>
      <c r="F13" s="24">
        <f>F11</f>
        <v/>
      </c>
      <c r="G13" s="23" t="n"/>
    </row>
    <row r="15">
      <c r="B15" s="28" t="inlineStr">
        <is>
          <t>Belege aus dem Code</t>
        </is>
      </c>
    </row>
    <row r="16">
      <c r="B16" s="42" t="inlineStr">
        <is>
          <t>· KORREKTUR 2026-07-21: Die erste Analyse lief gegen einen 8 Monate alten Checkout desselben Repos und war deutlich zu pessimistisch. Maßgeblich ist f11dd3f vom 10.05.2026.</t>
        </is>
      </c>
    </row>
    <row r="17">
      <c r="B17" s="42" t="inlineStr">
        <is>
          <t>· Das Frontend ist NICHT Nuxt, sondern eine Vite-5-/Vue-3-SPA. Aussagen in Angebotstexten, die „Nuxt UI" voraussetzen, treffen nicht zu.</t>
        </is>
      </c>
    </row>
    <row r="18">
      <c r="B18" s="42" t="inlineStr">
        <is>
          <t>· Gesamtumfang: ~6.400 Zeilen in 28 Dateien, 4 Routen, 9 Komponenten. Dark-Mode-System, ICS-Export und deutscher Datums-Parser sind vorhanden.</t>
        </is>
      </c>
    </row>
    <row r="19">
      <c r="B19" s="42" t="inlineStr">
        <is>
          <t>· ENTFALLEN gegenüber der Erstanalyse: FE↔BE-Auth (existiert) und Schreibpfad (existiert) — zusammen 7-11 h, die zu Unrecht angesetzt waren.</t>
        </is>
      </c>
    </row>
    <row r="20">
      <c r="B20" s="42" t="inlineStr">
        <is>
          <t>· Der Roadmap-Punkt „Dashboard-Umbau" (25 h) deckt F2 teilweise ab — Überschneidung prüfen, nicht doppelt zählen.</t>
        </is>
      </c>
    </row>
    <row r="21">
      <c r="B21" s="42" t="inlineStr">
        <is>
          <t>· Die Middleware liefert eine unerledigte Anleitung mit: FRONTEND_API_TOKEN_MIGRATION.md.</t>
        </is>
      </c>
    </row>
    <row r="22">
      <c r="B22" s="42" t="inlineStr">
        <is>
          <t>· Achtung: Der dort dokumentierte Weg (VITE_API_TOKEN im Bearer-Header) legt ein statisches Shared Secret in den Browser-Bundle — aus einer SPA nicht verbergbar.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52" customWidth="1" min="3" max="3"/>
    <col width="10" customWidth="1" min="4" max="4"/>
    <col width="9" customWidth="1" min="5" max="5"/>
    <col width="9" customWidth="1" min="6" max="6"/>
    <col width="52" customWidth="1" min="7" max="7"/>
  </cols>
  <sheetData>
    <row r="2">
      <c r="B2" s="1" t="inlineStr">
        <is>
          <t>Topic 1 — Zeichnerrolle / Rollen- &amp; Rechteverwaltung</t>
        </is>
      </c>
    </row>
    <row r="3">
      <c r="B3" s="2" t="inlineStr">
        <is>
          <t>Angebot v2: 23 h · Neu: 24–36 h (Variante A) bzw. 43–66 h (Variante B)</t>
        </is>
      </c>
    </row>
    <row r="5">
      <c r="B5" s="30" t="inlineStr">
        <is>
          <t>Variante A — RBAC als Anzeige-Logik</t>
        </is>
      </c>
      <c r="C5" s="30" t="n"/>
      <c r="D5" s="30" t="n"/>
      <c r="E5" s="30" t="n"/>
      <c r="F5" s="30" t="n"/>
      <c r="G5" s="30" t="n"/>
    </row>
    <row r="6" ht="26" customHeight="1">
      <c r="B6" s="7" t="inlineStr">
        <is>
          <t>Pos.</t>
        </is>
      </c>
      <c r="C6" s="7" t="inlineStr">
        <is>
          <t>Leistung</t>
        </is>
      </c>
      <c r="D6" s="7" t="inlineStr">
        <is>
          <t>Angebot v2</t>
        </is>
      </c>
      <c r="E6" s="7" t="inlineStr">
        <is>
          <t>von</t>
        </is>
      </c>
      <c r="F6" s="7" t="inlineStr">
        <is>
          <t>bis</t>
        </is>
      </c>
      <c r="G6" s="7" t="inlineStr">
        <is>
          <t>Befund / Begründung</t>
        </is>
      </c>
    </row>
    <row r="7" ht="28" customHeight="1">
      <c r="B7" s="31" t="inlineStr">
        <is>
          <t>A1</t>
        </is>
      </c>
      <c r="C7" s="32" t="inlineStr">
        <is>
          <t>DB: groups + employee_groups (initDatabase-Idiom)</t>
        </is>
      </c>
      <c r="D7" s="33" t="n">
        <v>2</v>
      </c>
      <c r="E7" s="10" t="n">
        <v>2</v>
      </c>
      <c r="F7" s="10" t="n">
        <v>3</v>
      </c>
      <c r="G7" s="14" t="inlineStr">
        <is>
          <t>Greenfield, aber trivial. Vorlage: construction_site_employees.</t>
        </is>
      </c>
    </row>
    <row r="8" ht="28" customHeight="1">
      <c r="B8" s="34" t="inlineStr">
        <is>
          <t>A2</t>
        </is>
      </c>
      <c r="C8" s="35" t="inlineStr">
        <is>
          <t>BE: Group-Service/Controller/Routes + Swagger</t>
        </is>
      </c>
      <c r="D8" s="36" t="n">
        <v>3</v>
      </c>
      <c r="E8" s="37" t="n">
        <v>4</v>
      </c>
      <c r="F8" s="37" t="n">
        <v>6</v>
      </c>
      <c r="G8" s="38" t="inlineStr">
        <is>
          <t>Pro Endpoint 50–100 Zeilen Swagger-JSDoc — dominiert den Diff.</t>
        </is>
      </c>
    </row>
    <row r="9" ht="28" customHeight="1">
      <c r="B9" s="31" t="inlineStr">
        <is>
          <t>A3</t>
        </is>
      </c>
      <c r="C9" s="32" t="inlineStr">
        <is>
          <t>BE: Employee-Schreib-Endpoints (existieren nicht)</t>
        </is>
      </c>
      <c r="D9" s="33" t="n"/>
      <c r="E9" s="10" t="n">
        <v>3</v>
      </c>
      <c r="F9" s="10" t="n">
        <v>4</v>
      </c>
      <c r="G9" s="14" t="inlineStr">
        <is>
          <t>employeeRoutes.ts hat NUR 4 GET-Routen. Ohne Schreibpfad kann kein Admin Nutzer pflegen.</t>
        </is>
      </c>
    </row>
    <row r="10" ht="28" customHeight="1">
      <c r="B10" s="34" t="inlineStr">
        <is>
          <t>A4</t>
        </is>
      </c>
      <c r="C10" s="35" t="inlineStr">
        <is>
          <t>FE: Rollen vom Server statt hardcodiert</t>
        </is>
      </c>
      <c r="D10" s="36" t="n">
        <v>2</v>
      </c>
      <c r="E10" s="37" t="n">
        <v>2</v>
      </c>
      <c r="F10" s="37" t="n">
        <v>3</v>
      </c>
      <c r="G10" s="38" t="inlineStr">
        <is>
          <t>Store hat BEREITS isPrivilegedUser + isHybridUser (auth.ts:14-23). Zwei hardcodierte Arrays in config.ts:34-40 ersetzen, auf n Rollen verallgemeinern.</t>
        </is>
      </c>
    </row>
    <row r="11" ht="28" customHeight="1">
      <c r="B11" s="31" t="inlineStr">
        <is>
          <t>A5</t>
        </is>
      </c>
      <c r="C11" s="32" t="inlineStr">
        <is>
          <t>FE: Route Guard auf DB-Rollen umstellen</t>
        </is>
      </c>
      <c r="D11" s="33" t="n">
        <v>3</v>
      </c>
      <c r="E11" s="10" t="n">
        <v>1</v>
      </c>
      <c r="F11" s="10" t="n">
        <v>2</v>
      </c>
      <c r="G11" s="14" t="inlineStr">
        <is>
          <t>Der Guard prüft BEREITS Rollen: meta.requiresAdmin / requiresEmployee (router/index.ts:42-66). Es wechselt nur die Datenquelle.</t>
        </is>
      </c>
    </row>
    <row r="12" ht="28" customHeight="1">
      <c r="B12" s="34" t="inlineStr">
        <is>
          <t>A6</t>
        </is>
      </c>
      <c r="C12" s="35" t="inlineStr">
        <is>
          <t>FE: Berechtigungs-Helper + bestehende v-if-Stellen migrieren</t>
        </is>
      </c>
      <c r="D12" s="36" t="n">
        <v>3</v>
      </c>
      <c r="E12" s="37" t="n">
        <v>2</v>
      </c>
      <c r="F12" s="37" t="n">
        <v>3</v>
      </c>
      <c r="G12" s="38" t="inlineStr">
        <is>
          <t>~14 Stellen in Home.vue, EmployeeView.vue und ConstructionSiteList.vue. Mechanisch, aber mehr als zunächst angenommen.</t>
        </is>
      </c>
    </row>
    <row r="13" ht="28" customHeight="1">
      <c r="B13" s="31" t="inlineStr">
        <is>
          <t>A7</t>
        </is>
      </c>
      <c r="C13" s="32" t="inlineStr">
        <is>
          <t>FE: Zeichner-Ansicht — Baustellen + Selbstzuweisung</t>
        </is>
      </c>
      <c r="D13" s="33" t="n">
        <v>3</v>
      </c>
      <c r="E13" s="10" t="n">
        <v>3</v>
      </c>
      <c r="F13" s="10" t="n">
        <v>5</v>
      </c>
      <c r="G13" s="14" t="inlineStr">
        <is>
          <t>EmployeeAssignment.vue (322 Z.) macht Monteur-Multiselect + Batch-Zuweisung bereits — direkt nachnutzbar.</t>
        </is>
      </c>
    </row>
    <row r="14" ht="28" customHeight="1">
      <c r="B14" s="34" t="inlineStr">
        <is>
          <t>A8</t>
        </is>
      </c>
      <c r="C14" s="35" t="inlineStr">
        <is>
          <t>FE: Admin-UI Gruppenverwaltung</t>
        </is>
      </c>
      <c r="D14" s="36" t="n">
        <v>6</v>
      </c>
      <c r="E14" s="37" t="n">
        <v>7</v>
      </c>
      <c r="F14" s="37" t="n">
        <v>10</v>
      </c>
      <c r="G14" s="38" t="inlineStr">
        <is>
          <t>Bleibt Greenfield: es gibt keine Verwaltungs-UI und keinen Employee-Schreibweg. Formular-Muster ist aber vorhanden (ProjectEditModal).</t>
        </is>
      </c>
    </row>
    <row r="15">
      <c r="B15" s="39" t="n"/>
      <c r="C15" s="40" t="inlineStr">
        <is>
          <t>Zwischensumme Variante A</t>
        </is>
      </c>
      <c r="D15" s="41">
        <f>SUM(D7:D14)</f>
        <v/>
      </c>
      <c r="E15" s="41">
        <f>SUM(E7:E14)</f>
        <v/>
      </c>
      <c r="F15" s="41">
        <f>SUM(F7:F14)</f>
        <v/>
      </c>
      <c r="G15" s="39" t="n"/>
    </row>
    <row r="17">
      <c r="B17" s="30" t="inlineStr">
        <is>
          <t>Variante B — serverseitig durchgesetzt (Zusatz zu A)</t>
        </is>
      </c>
      <c r="C17" s="30" t="n"/>
      <c r="D17" s="30" t="n"/>
      <c r="E17" s="30" t="n"/>
      <c r="F17" s="30" t="n"/>
      <c r="G17" s="30" t="n"/>
    </row>
    <row r="18" ht="26" customHeight="1">
      <c r="B18" s="7" t="inlineStr">
        <is>
          <t>Pos.</t>
        </is>
      </c>
      <c r="C18" s="7" t="inlineStr">
        <is>
          <t>Leistung</t>
        </is>
      </c>
      <c r="D18" s="7" t="inlineStr">
        <is>
          <t>Angebot v2</t>
        </is>
      </c>
      <c r="E18" s="7" t="inlineStr">
        <is>
          <t>von</t>
        </is>
      </c>
      <c r="F18" s="7" t="inlineStr">
        <is>
          <t>bis</t>
        </is>
      </c>
      <c r="G18" s="7" t="inlineStr">
        <is>
          <t>Befund / Begründung</t>
        </is>
      </c>
    </row>
    <row r="19" ht="28" customHeight="1">
      <c r="B19" s="31" t="inlineStr">
        <is>
          <t>B1</t>
        </is>
      </c>
      <c r="C19" s="32" t="inlineStr">
        <is>
          <t>BE: MSAL-Token serverseitig validieren (JWKS, Tenant, Cache)</t>
        </is>
      </c>
      <c r="D19" s="33" t="n"/>
      <c r="E19" s="10" t="n">
        <v>6</v>
      </c>
      <c r="F19" s="10" t="n">
        <v>10</v>
      </c>
      <c r="G19" s="14" t="inlineStr">
        <is>
          <t>Es gibt keinerlei Token-Validierung. @azure/identity ist nicht installiert.</t>
        </is>
      </c>
    </row>
    <row r="20" ht="28" customHeight="1">
      <c r="B20" s="34" t="inlineStr">
        <is>
          <t>B2</t>
        </is>
      </c>
      <c r="C20" s="35" t="inlineStr">
        <is>
          <t>BE: Identität in die Request-Pipeline (req.user)</t>
        </is>
      </c>
      <c r="D20" s="36" t="n"/>
      <c r="E20" s="37" t="n">
        <v>3</v>
      </c>
      <c r="F20" s="37" t="n">
        <v>4</v>
      </c>
      <c r="G20" s="38" t="inlineStr">
        <is>
          <t>req.user existiert nicht. Das BE weiß nie, wer aufruft.</t>
        </is>
      </c>
    </row>
    <row r="21" ht="28" customHeight="1">
      <c r="B21" s="31" t="inlineStr">
        <is>
          <t>B3</t>
        </is>
      </c>
      <c r="C21" s="32" t="inlineStr">
        <is>
          <t>BE: 30 Bestandsrouten auf identitätsbasierte Auth umstellen + testen</t>
        </is>
      </c>
      <c r="D21" s="33" t="n"/>
      <c r="E21" s="10" t="n">
        <v>6</v>
      </c>
      <c r="F21" s="10" t="n">
        <v>10</v>
      </c>
      <c r="G21" s="14" t="inlineStr">
        <is>
          <t>Alle Routen hängen heute am selben Shared Secret.</t>
        </is>
      </c>
    </row>
    <row r="22" ht="28" customHeight="1">
      <c r="B22" s="34" t="inlineStr">
        <is>
          <t>B4</t>
        </is>
      </c>
      <c r="C22" s="35" t="inlineStr">
        <is>
          <t>FE: MSAL-Token mitsenden, Refresh, 401-Retry</t>
        </is>
      </c>
      <c r="D22" s="36" t="n"/>
      <c r="E22" s="37" t="n">
        <v>4</v>
      </c>
      <c r="F22" s="37" t="n">
        <v>6</v>
      </c>
      <c r="G22" s="38" t="inlineStr">
        <is>
          <t>getAccessToken() (msal.ts:405) ist toter Code. MSAL fordert KEINEN API-Scope an — Scope-Registrierung + apiClient-Verdrahtung nötig.</t>
        </is>
      </c>
    </row>
    <row r="23">
      <c r="B23" s="39" t="n"/>
      <c r="C23" s="40" t="inlineStr">
        <is>
          <t>Zwischensumme Variante B</t>
        </is>
      </c>
      <c r="D23" s="41">
        <f>SUM(D19:D22)</f>
        <v/>
      </c>
      <c r="E23" s="41">
        <f>SUM(E19:E22)</f>
        <v/>
      </c>
      <c r="F23" s="41">
        <f>SUM(F19:F22)</f>
        <v/>
      </c>
      <c r="G23" s="39" t="n"/>
    </row>
    <row r="25" ht="24" customHeight="1">
      <c r="B25" s="23" t="n"/>
      <c r="C25" s="23" t="inlineStr">
        <is>
          <t>Gesamt</t>
        </is>
      </c>
      <c r="D25" s="24">
        <f>D15+D23</f>
        <v/>
      </c>
      <c r="E25" s="24">
        <f>E15+E23</f>
        <v/>
      </c>
      <c r="F25" s="24">
        <f>F15+F23</f>
        <v/>
      </c>
      <c r="G25" s="23" t="n"/>
    </row>
    <row r="27">
      <c r="B27" s="28" t="inlineStr">
        <is>
          <t>Belege aus dem Code</t>
        </is>
      </c>
    </row>
    <row r="28">
      <c r="B28" s="42" t="inlineStr">
        <is>
          <t>· Die Doku-Aussage „Gruppenlogik nur im FE hardcoded" stimmt — im BE gibt es überhaupt nichts: keine Gruppen, keine Rollen, keine Identität.</t>
        </is>
      </c>
    </row>
    <row r="29">
      <c r="B29" s="42" t="inlineStr">
        <is>
          <t>· Die gesamte BE-Auth ist EIN Shared Secret (src/middleware/auth.ts), für alle Aufrufer identisch, aus der Env.</t>
        </is>
      </c>
    </row>
    <row r="30">
      <c r="B30" s="42" t="inlineStr">
        <is>
          <t>· FE-Rollenmodell heute: config.ts:34-40 zwei E-Mail-Listen → auth.ts:14-23 zwei Booleans (isPrivilegedUser, isHybridUser) → ~14 v-if.</t>
        </is>
      </c>
    </row>
    <row r="31">
      <c r="B31" s="42" t="inlineStr">
        <is>
          <t>· isChef existiert als Spalte auf employees, wird gelesen und ausgeliefert, aber in KEINER Bedingung ausgewertet — totes Flag.</t>
        </is>
      </c>
    </row>
    <row r="32">
      <c r="B32" s="42" t="inlineStr">
        <is>
          <t>· role auf construction_site_employees ist ein freies Textfeld („Projektleiter"/„Monteur"), kein Rechte-Konzept.</t>
        </is>
      </c>
    </row>
    <row r="33">
      <c r="B33" s="42" t="inlineStr">
        <is>
          <t>· Position 1.3 des Angebots („Gruppen beim Login in MS Auth Token/Session schreiben", 2 h) beschreibt Arbeit an einem Login, den das BE nicht hat.</t>
        </is>
      </c>
    </row>
    <row r="34">
      <c r="B34" s="42" t="inlineStr">
        <is>
          <t>· ENTSCHEIDUNG: Variante A schützt vor Verwechslung, nicht vor Absicht. Für ein internes Tool mit 10 Leuten kann das legitim sein — aber bewusst und dem Kunden gegenüber benannt.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52" customWidth="1" min="3" max="3"/>
    <col width="10" customWidth="1" min="4" max="4"/>
    <col width="9" customWidth="1" min="5" max="5"/>
    <col width="9" customWidth="1" min="6" max="6"/>
    <col width="52" customWidth="1" min="7" max="7"/>
  </cols>
  <sheetData>
    <row r="2">
      <c r="B2" s="1" t="inlineStr">
        <is>
          <t>Topic 2 — Toggl: vergangene Tage nachtracken</t>
        </is>
      </c>
    </row>
    <row r="3">
      <c r="B3" s="2" t="inlineStr">
        <is>
          <t>Angebot v2: 21 h · Neu: 18–28 h — im Kern bestätigt</t>
        </is>
      </c>
    </row>
    <row r="5">
      <c r="B5" s="30" t="inlineStr">
        <is>
          <t>Phase 1 — Umsetzung</t>
        </is>
      </c>
      <c r="C5" s="30" t="n"/>
      <c r="D5" s="30" t="n"/>
      <c r="E5" s="30" t="n"/>
      <c r="F5" s="30" t="n"/>
      <c r="G5" s="30" t="n"/>
    </row>
    <row r="6" ht="26" customHeight="1">
      <c r="B6" s="7" t="inlineStr">
        <is>
          <t>Pos.</t>
        </is>
      </c>
      <c r="C6" s="7" t="inlineStr">
        <is>
          <t>Leistung</t>
        </is>
      </c>
      <c r="D6" s="7" t="inlineStr">
        <is>
          <t>Angebot v2</t>
        </is>
      </c>
      <c r="E6" s="7" t="inlineStr">
        <is>
          <t>von</t>
        </is>
      </c>
      <c r="F6" s="7" t="inlineStr">
        <is>
          <t>bis</t>
        </is>
      </c>
      <c r="G6" s="7" t="inlineStr">
        <is>
          <t>Befund / Begründung</t>
        </is>
      </c>
    </row>
    <row r="7" ht="28" customHeight="1">
      <c r="B7" s="31" t="inlineStr">
        <is>
          <t>T1</t>
        </is>
      </c>
      <c r="C7" s="32" t="inlineStr">
        <is>
          <t>BE: timeEntryRoutes + Controller + Swagger + Mount</t>
        </is>
      </c>
      <c r="D7" s="33" t="n">
        <v>2</v>
      </c>
      <c r="E7" s="10" t="n">
        <v>2</v>
      </c>
      <c r="F7" s="10" t="n">
        <v>3</v>
      </c>
      <c r="G7" s="14" t="inlineStr">
        <is>
          <t>Es gibt heute gar keinen /api/v1/time-entries-Router.</t>
        </is>
      </c>
    </row>
    <row r="8" ht="28" customHeight="1">
      <c r="B8" s="34" t="inlineStr">
        <is>
          <t>T2</t>
        </is>
      </c>
      <c r="C8" s="35" t="inlineStr">
        <is>
          <t>BE: Task-main() in importierbare Service-Funktionen refactoren</t>
        </is>
      </c>
      <c r="D8" s="36" t="n"/>
      <c r="E8" s="37" t="n">
        <v>2</v>
      </c>
      <c r="F8" s="37" t="n">
        <v>3</v>
      </c>
      <c r="G8" s="38" t="inlineStr">
        <is>
          <t>Die Tasks rufen inline process.exit() — aus Express so nicht aufrufbar.</t>
        </is>
      </c>
    </row>
    <row r="9" ht="28" customHeight="1">
      <c r="B9" s="31" t="inlineStr">
        <is>
          <t>T3</t>
        </is>
      </c>
      <c r="C9" s="32" t="inlineStr">
        <is>
          <t>BE: Mitarbeiter-Filter in getRawTimeEntriesForDate / createPayloadForDate</t>
        </is>
      </c>
      <c r="D9" s="33" t="n"/>
      <c r="E9" s="10" t="n">
        <v>1</v>
      </c>
      <c r="F9" s="10" t="n">
        <v>2</v>
      </c>
      <c r="G9" s="14" t="inlineStr">
        <is>
          <t>Beide arbeiten heute über ALLE Mitarbeiter, kein Filter vorgesehen.</t>
        </is>
      </c>
    </row>
    <row r="10" ht="28" customHeight="1">
      <c r="B10" s="34" t="inlineStr">
        <is>
          <t>T4</t>
        </is>
      </c>
      <c r="C10" s="35" t="inlineStr">
        <is>
          <t>BE: Tages-Schleife über den Zeitraum</t>
        </is>
      </c>
      <c r="D10" s="36" t="n">
        <v>3</v>
      </c>
      <c r="E10" s="37" t="n">
        <v>2</v>
      </c>
      <c r="F10" s="37" t="n">
        <v>2</v>
      </c>
      <c r="G10" s="38" t="inlineStr">
        <is>
          <t>Der Payload ist bereits pro Mitarbeiter und Tag — nur die Schleife fehlt.</t>
        </is>
      </c>
    </row>
    <row r="11" ht="28" customHeight="1">
      <c r="B11" s="31" t="inlineStr">
        <is>
          <t>T5</t>
        </is>
      </c>
      <c r="C11" s="32" t="inlineStr">
        <is>
          <t>BE: Langläufer — Job + Status-Polling statt synchronem Request</t>
        </is>
      </c>
      <c r="D11" s="33" t="n"/>
      <c r="E11" s="10" t="n">
        <v>3</v>
      </c>
      <c r="F11" s="10" t="n">
        <v>4</v>
      </c>
      <c r="G11" s="14" t="inlineStr">
        <is>
          <t>Fest verdrahtete 10 s Pause pro Aufruf (exportDailyTimeEntries.ts:99). Ein 2-Wochen-Export läuft in jedes HTTP-Timeout.</t>
        </is>
      </c>
    </row>
    <row r="12" ht="28" customHeight="1">
      <c r="B12" s="34" t="inlineStr">
        <is>
          <t>T6</t>
        </is>
      </c>
      <c r="C12" s="35" t="inlineStr">
        <is>
          <t>BE: Pagination bzw. Range-Chunking für /me/time_entries</t>
        </is>
      </c>
      <c r="D12" s="36" t="n"/>
      <c r="E12" s="37" t="n">
        <v>2</v>
      </c>
      <c r="F12" s="37" t="n">
        <v>4</v>
      </c>
      <c r="G12" s="38" t="inlineStr">
        <is>
          <t>response.data wird ungeprüft übernommen. Für 1 Tag egal, für 1 Monat nicht.</t>
        </is>
      </c>
    </row>
    <row r="13" ht="28" customHeight="1">
      <c r="B13" s="31" t="inlineStr">
        <is>
          <t>T7</t>
        </is>
      </c>
      <c r="C13" s="32" t="inlineStr">
        <is>
          <t>DB: UNIQUE KEY (toggl_id) + echter Upsert</t>
        </is>
      </c>
      <c r="D13" s="33" t="n">
        <v>2</v>
      </c>
      <c r="E13" s="10" t="n">
        <v>1</v>
      </c>
      <c r="F13" s="10" t="n">
        <v>2</v>
      </c>
      <c r="G13" s="14" t="inlineStr">
        <is>
          <t>idx_toggl_id ist nur INDEX, nicht UNIQUE. Duplikatschutz per SELECT-dann-INSERT — bricht bei Parallellauf mit dem 23-Uhr-Cron.</t>
        </is>
      </c>
    </row>
    <row r="14" ht="28" customHeight="1">
      <c r="B14" s="34" t="inlineStr">
        <is>
          <t>T8</t>
        </is>
      </c>
      <c r="C14" s="35" t="inlineStr">
        <is>
          <t>FE: Formular (Arbeiter, Zeitraum, Status-Feedback)</t>
        </is>
      </c>
      <c r="D14" s="36" t="n">
        <v>5</v>
      </c>
      <c r="E14" s="37" t="n">
        <v>3</v>
      </c>
      <c r="F14" s="37" t="n">
        <v>5</v>
      </c>
      <c r="G14" s="38" t="inlineStr">
        <is>
          <t>ProjectEditModal.vue (494 Z.) ist ein vollständiges, kopierbares Formular-Gerüst inkl. Dirty-Check und a11y. apiClient hat alle Verben.</t>
        </is>
      </c>
    </row>
    <row r="15" ht="28" customHeight="1">
      <c r="B15" s="31" t="inlineStr">
        <is>
          <t>T9</t>
        </is>
      </c>
      <c r="C15" s="32" t="inlineStr">
        <is>
          <t>Test gegen echtes Toggl + Live-Webhook</t>
        </is>
      </c>
      <c r="D15" s="33" t="n"/>
      <c r="E15" s="10" t="n">
        <v>2</v>
      </c>
      <c r="F15" s="10" t="n">
        <v>3</v>
      </c>
      <c r="G15" s="14" t="inlineStr">
        <is>
          <t>Im Angebot nicht ausgewiesen.</t>
        </is>
      </c>
    </row>
    <row r="16">
      <c r="B16" s="39" t="n"/>
      <c r="C16" s="40" t="inlineStr">
        <is>
          <t>Zwischensumme Phase 1</t>
        </is>
      </c>
      <c r="D16" s="41">
        <f>SUM(D7:D15)</f>
        <v/>
      </c>
      <c r="E16" s="41">
        <f>SUM(E7:E15)</f>
        <v/>
      </c>
      <c r="F16" s="41">
        <f>SUM(F7:F15)</f>
        <v/>
      </c>
      <c r="G16" s="39" t="n"/>
    </row>
    <row r="18" ht="24" customHeight="1">
      <c r="B18" s="23" t="n"/>
      <c r="C18" s="23" t="inlineStr">
        <is>
          <t>Gesamt</t>
        </is>
      </c>
      <c r="D18" s="24">
        <f>D16</f>
        <v/>
      </c>
      <c r="E18" s="24">
        <f>E16</f>
        <v/>
      </c>
      <c r="F18" s="24">
        <f>F16</f>
        <v/>
      </c>
      <c r="G18" s="23" t="n"/>
    </row>
    <row r="20">
      <c r="B20" s="28" t="inlineStr">
        <is>
          <t>Belege aus dem Code</t>
        </is>
      </c>
    </row>
    <row r="21">
      <c r="B21" s="42" t="inlineStr">
        <is>
          <t>· BESTÄTIGT: getTimeEntriesForDateRange (timeEntryService.ts:257-287) existiert fertig inkl. DB-Schreibung.</t>
        </is>
      </c>
    </row>
    <row r="22">
      <c r="B22" s="42" t="inlineStr">
        <is>
          <t>· BESTÄTIGT: Rate-Limit-Handling mit 3 Retries, 429-Erkennung und Retry-After (togglService.ts:25-43) läuft produktiv.</t>
        </is>
      </c>
    </row>
    <row r="23">
      <c r="B23" s="42" t="inlineStr">
        <is>
          <t>· BESTÄTIGT: Power Automate bekommt HEUTE SCHON einen POST pro Mitarbeiter pro Tag — „Tage einzeln schicken" ist bereits das Wire-Format, nicht neu zu bauen.</t>
        </is>
      </c>
    </row>
    <row r="24">
      <c r="B24" s="42" t="inlineStr">
        <is>
          <t>· Das CLI-Skript nimmt bereits einen Zeitraum entgegen: extractDailyTimeEntries.ts:24-29.</t>
        </is>
      </c>
    </row>
    <row r="25">
      <c r="B25" s="42" t="inlineStr">
        <is>
          <t>· toggl_sync_mode betrifft NUR den Projekt-Sync, nicht die Zeiteinträge — darf die Schätzung nicht aufblähen.</t>
        </is>
      </c>
    </row>
    <row r="26">
      <c r="B26" s="42" t="inlineStr">
        <is>
          <t>· SCOPE-HEBEL: Maximal 1 Woche pro Export → 16 h bleiben realistisch. Ein ganzer Monat → eher 24 h. Das ist eine Produkt-, keine Technikentscheidung.</t>
        </is>
      </c>
    </row>
    <row r="27">
      <c r="B27" s="42" t="inlineStr">
        <is>
          <t>· Nebenbefund: Die Power-Automate-URL steht samt SAS-Signatur hartkodiert im Code (powerAutomateService.ts:20), die vorgesehene Env-Variable wird nie gelesen.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52" customWidth="1" min="3" max="3"/>
    <col width="10" customWidth="1" min="4" max="4"/>
    <col width="9" customWidth="1" min="5" max="5"/>
    <col width="9" customWidth="1" min="6" max="6"/>
    <col width="52" customWidth="1" min="7" max="7"/>
  </cols>
  <sheetData>
    <row r="2">
      <c r="B2" s="1" t="inlineStr">
        <is>
          <t>Topic 3 — Termine für Arbeiter erstellen &amp; verwalten</t>
        </is>
      </c>
    </row>
    <row r="3">
      <c r="B3" s="2" t="inlineStr">
        <is>
          <t>Angebot v2: 27 h · Neu inkl. Mitarbeiter-Kalender (Phase 3): 53–86 h</t>
        </is>
      </c>
    </row>
    <row r="5">
      <c r="B5" s="30" t="inlineStr">
        <is>
          <t>Phase 1 — Termine + Admin-Kalender</t>
        </is>
      </c>
      <c r="C5" s="30" t="n"/>
      <c r="D5" s="30" t="n"/>
      <c r="E5" s="30" t="n"/>
      <c r="F5" s="30" t="n"/>
      <c r="G5" s="30" t="n"/>
    </row>
    <row r="6" ht="26" customHeight="1">
      <c r="B6" s="7" t="inlineStr">
        <is>
          <t>Pos.</t>
        </is>
      </c>
      <c r="C6" s="7" t="inlineStr">
        <is>
          <t>Leistung</t>
        </is>
      </c>
      <c r="D6" s="7" t="inlineStr">
        <is>
          <t>Angebot v2</t>
        </is>
      </c>
      <c r="E6" s="7" t="inlineStr">
        <is>
          <t>von</t>
        </is>
      </c>
      <c r="F6" s="7" t="inlineStr">
        <is>
          <t>bis</t>
        </is>
      </c>
      <c r="G6" s="7" t="inlineStr">
        <is>
          <t>Befund / Begründung</t>
        </is>
      </c>
    </row>
    <row r="7" ht="28" customHeight="1">
      <c r="B7" s="31" t="inlineStr">
        <is>
          <t>A1</t>
        </is>
      </c>
      <c r="C7" s="32" t="inlineStr">
        <is>
          <t>DB: appointments-Tabelle, Datum/Zeit-Typisierung, fuzzy, mehrtägig</t>
        </is>
      </c>
      <c r="D7" s="33" t="n">
        <v>1</v>
      </c>
      <c r="E7" s="10" t="n">
        <v>3</v>
      </c>
      <c r="F7" s="10" t="n">
        <v>5</v>
      </c>
      <c r="G7" s="14" t="inlineStr">
        <is>
          <t>Es gibt KEINE appointments-Tabelle. Nur datum / terminNachVereinbarung / auftragsdatum als VARCHAR/TEXT auf projects, ohne Index.</t>
        </is>
      </c>
    </row>
    <row r="8" ht="28" customHeight="1">
      <c r="B8" s="34" t="inlineStr">
        <is>
          <t>A2</t>
        </is>
      </c>
      <c r="C8" s="35" t="inlineStr">
        <is>
          <t>DB: appointment_employees + Migration des UNIQUE KEY auf Live-Daten</t>
        </is>
      </c>
      <c r="D8" s="36" t="n"/>
      <c r="E8" s="37" t="n">
        <v>4</v>
      </c>
      <c r="F8" s="37" t="n">
        <v>6</v>
      </c>
      <c r="G8" s="38" t="inlineStr">
        <is>
          <t>construction_site_employees hat UNIQUE (site, employee) — ein Monteur kann einer Baustelle nur EINMAL zugewiesen werden. Für Mehrfachtermine muss der Key fallen.</t>
        </is>
      </c>
    </row>
    <row r="9" ht="28" customHeight="1">
      <c r="B9" s="31" t="inlineStr">
        <is>
          <t>A3</t>
        </is>
      </c>
      <c r="C9" s="32" t="inlineStr">
        <is>
          <t>BE: CRUD-Endpoints + Swagger</t>
        </is>
      </c>
      <c r="D9" s="33" t="n">
        <v>3</v>
      </c>
      <c r="E9" s="10" t="n">
        <v>5</v>
      </c>
      <c r="F9" s="10" t="n">
        <v>8</v>
      </c>
      <c r="G9" s="14" t="inlineStr">
        <is>
          <t>Bestehende Zuweisungs-Endpoints kennen keinerlei Datum.</t>
        </is>
      </c>
    </row>
    <row r="10" ht="28" customHeight="1">
      <c r="B10" s="34" t="inlineStr">
        <is>
          <t>A4</t>
        </is>
      </c>
      <c r="C10" s="35" t="inlineStr">
        <is>
          <t>BE: Zeitraum-Endpoint gruppiert nach Mitarbeiter + Indizes</t>
        </is>
      </c>
      <c r="D10" s="36" t="n">
        <v>2</v>
      </c>
      <c r="E10" s="37" t="n">
        <v>3</v>
      </c>
      <c r="F10" s="37" t="n">
        <v>4</v>
      </c>
      <c r="G10" s="38" t="inlineStr">
        <is>
          <t>WHERE datum BETWEEN ist auf VARCHAR-Spalten ohne Index nicht sinnvoll möglich.</t>
        </is>
      </c>
    </row>
    <row r="11" ht="28" customHeight="1">
      <c r="B11" s="31" t="inlineStr">
        <is>
          <t>A5</t>
        </is>
      </c>
      <c r="C11" s="32" t="inlineStr">
        <is>
          <t>FE: Kalender-Bibliothek (calendar.js) auswählen + integrieren</t>
        </is>
      </c>
      <c r="D11" s="33" t="n">
        <v>4</v>
      </c>
      <c r="E11" s="10" t="n">
        <v>7</v>
      </c>
      <c r="F11" s="10" t="n">
        <v>12</v>
      </c>
      <c r="G11" s="14" t="inlineStr">
        <is>
          <t>Keine Kalenderbibliothek im Bestand. Gewählt: calendar.js (dieselbe Basis für Admin- und Mitarbeiter-Kalender). utils/date.ts (205 Z.) parst deutsche + ISO-Daten bereits.</t>
        </is>
      </c>
    </row>
    <row r="12" ht="28" customHeight="1">
      <c r="B12" s="34" t="inlineStr">
        <is>
          <t>A6</t>
        </is>
      </c>
      <c r="C12" s="35" t="inlineStr">
        <is>
          <t>FE: Gesamtansicht + Filter je Monteur</t>
        </is>
      </c>
      <c r="D12" s="36" t="n">
        <v>2</v>
      </c>
      <c r="E12" s="37" t="n">
        <v>4</v>
      </c>
      <c r="F12" s="37" t="n">
        <v>6</v>
      </c>
      <c r="G12" s="38" t="inlineStr">
        <is>
          <t>Farbcodierung + Checkbox-Filter.</t>
        </is>
      </c>
    </row>
    <row r="13" ht="28" customHeight="1">
      <c r="B13" s="31" t="inlineStr">
        <is>
          <t>A7</t>
        </is>
      </c>
      <c r="C13" s="32" t="inlineStr">
        <is>
          <t>FE: Einzelansicht</t>
        </is>
      </c>
      <c r="D13" s="33" t="n">
        <v>2</v>
      </c>
      <c r="E13" s="10" t="n">
        <v>2</v>
      </c>
      <c r="F13" s="10" t="n">
        <v>4</v>
      </c>
      <c r="G13" s="14" t="inlineStr">
        <is>
          <t>Freie Tage erkennbar machen.</t>
        </is>
      </c>
    </row>
    <row r="14" ht="28" customHeight="1">
      <c r="B14" s="34" t="inlineStr">
        <is>
          <t>A8</t>
        </is>
      </c>
      <c r="C14" s="35" t="inlineStr">
        <is>
          <t>FE: Termin-Dialog (Monteur, fuzzy, mehrtägig)</t>
        </is>
      </c>
      <c r="D14" s="36" t="n">
        <v>3</v>
      </c>
      <c r="E14" s="37" t="n">
        <v>4</v>
      </c>
      <c r="F14" s="37" t="n">
        <v>6</v>
      </c>
      <c r="G14" s="38" t="inlineStr">
        <is>
          <t>ProjectEditModal.vue bearbeitet terminNachVereinbarung bereits inkl. parseDatum/buildDatum. EmployeeAssignment liefert die Monteur-Auswahl.</t>
        </is>
      </c>
    </row>
    <row r="15" ht="28" customHeight="1">
      <c r="B15" s="31" t="inlineStr">
        <is>
          <t>A9</t>
        </is>
      </c>
      <c r="C15" s="32" t="inlineStr">
        <is>
          <t>FE: Österreichische Feiertage</t>
        </is>
      </c>
      <c r="D15" s="33" t="n">
        <v>0.5</v>
      </c>
      <c r="E15" s="10" t="n">
        <v>1</v>
      </c>
      <c r="F15" s="10" t="n">
        <v>2</v>
      </c>
      <c r="G15" s="14" t="inlineStr">
        <is>
          <t>Ohne Kalender-Plugin selbst zu lösen.</t>
        </is>
      </c>
    </row>
    <row r="16" ht="28" customHeight="1">
      <c r="B16" s="34" t="inlineStr">
        <is>
          <t>A10</t>
        </is>
      </c>
      <c r="C16" s="35" t="inlineStr">
        <is>
          <t>FE: Offene / fuzzy Termine als Hinweisblock</t>
        </is>
      </c>
      <c r="D16" s="36" t="n">
        <v>1.5</v>
      </c>
      <c r="E16" s="37" t="n">
        <v>2</v>
      </c>
      <c r="F16" s="37" t="n">
        <v>3</v>
      </c>
      <c r="G16" s="38" t="inlineStr">
        <is>
          <t>requestService.ts:150 verwirft heute den echten Fuzzy-Wert und schreibt eine Konstante.</t>
        </is>
      </c>
    </row>
    <row r="17">
      <c r="B17" s="39" t="n"/>
      <c r="C17" s="40" t="inlineStr">
        <is>
          <t>Zwischensumme Phase 1</t>
        </is>
      </c>
      <c r="D17" s="41">
        <f>SUM(D7:D16)</f>
        <v/>
      </c>
      <c r="E17" s="41">
        <f>SUM(E7:E16)</f>
        <v/>
      </c>
      <c r="F17" s="41">
        <f>SUM(F7:F16)</f>
        <v/>
      </c>
      <c r="G17" s="39" t="n"/>
    </row>
    <row r="19">
      <c r="B19" s="30" t="inlineStr">
        <is>
          <t>Phase 2 — WhatsApp-Benachrichtigungen</t>
        </is>
      </c>
      <c r="C19" s="30" t="n"/>
      <c r="D19" s="30" t="n"/>
      <c r="E19" s="30" t="n"/>
      <c r="F19" s="30" t="n"/>
      <c r="G19" s="30" t="n"/>
    </row>
    <row r="20" ht="26" customHeight="1">
      <c r="B20" s="7" t="inlineStr">
        <is>
          <t>Pos.</t>
        </is>
      </c>
      <c r="C20" s="7" t="inlineStr">
        <is>
          <t>Leistung</t>
        </is>
      </c>
      <c r="D20" s="7" t="inlineStr">
        <is>
          <t>Angebot v2</t>
        </is>
      </c>
      <c r="E20" s="7" t="inlineStr">
        <is>
          <t>von</t>
        </is>
      </c>
      <c r="F20" s="7" t="inlineStr">
        <is>
          <t>bis</t>
        </is>
      </c>
      <c r="G20" s="7" t="inlineStr">
        <is>
          <t>Befund / Begründung</t>
        </is>
      </c>
    </row>
    <row r="21" ht="28" customHeight="1">
      <c r="B21" s="31" t="inlineStr">
        <is>
          <t>W1</t>
        </is>
      </c>
      <c r="C21" s="32" t="inlineStr">
        <is>
          <t>BE: Benachrichtigung bei Termin-Zuweisung</t>
        </is>
      </c>
      <c r="D21" s="33" t="n">
        <v>2</v>
      </c>
      <c r="E21" s="10" t="n">
        <v>2</v>
      </c>
      <c r="F21" s="10" t="n">
        <v>3</v>
      </c>
      <c r="G21" s="14" t="inlineStr">
        <is>
          <t>Gut abgesichert — das Muster läuft produktiv (employeeAssignmentService.ts:55-71).</t>
        </is>
      </c>
    </row>
    <row r="22" ht="28" customHeight="1">
      <c r="B22" s="34" t="inlineStr">
        <is>
          <t>W2</t>
        </is>
      </c>
      <c r="C22" s="35" t="inlineStr">
        <is>
          <t>BE: Notiz-Entität schaffen + Benachrichtigung</t>
        </is>
      </c>
      <c r="D22" s="36" t="n">
        <v>2</v>
      </c>
      <c r="E22" s="37" t="n">
        <v>4</v>
      </c>
      <c r="F22" s="37" t="n">
        <v>6</v>
      </c>
      <c r="G22" s="38" t="inlineStr">
        <is>
          <t>notiz ist EINE überschreibbare TEXT-Spalte auf projects. Keine Zeilen, kein Autor, kein Zeitstempel — es gibt kein „neue Notiz"-Ereignis.</t>
        </is>
      </c>
    </row>
    <row r="23" ht="28" customHeight="1">
      <c r="B23" s="31" t="inlineStr">
        <is>
          <t>W3</t>
        </is>
      </c>
      <c r="C23" s="32" t="inlineStr">
        <is>
          <t>Templates + Meta-Genehmigung</t>
        </is>
      </c>
      <c r="D23" s="33" t="n">
        <v>1</v>
      </c>
      <c r="E23" s="10" t="n">
        <v>1</v>
      </c>
      <c r="F23" s="10" t="n">
        <v>2</v>
      </c>
      <c r="G23" s="14" t="inlineStr">
        <is>
          <t>Twilio Content Templates, positionell ({{1}},{{2}},{{3}}). Genehmigungs-Vorlaufzeit ist extern, nicht in den Stunden.</t>
        </is>
      </c>
    </row>
    <row r="24" ht="28" customHeight="1">
      <c r="B24" s="34" t="inlineStr">
        <is>
          <t>W4</t>
        </is>
      </c>
      <c r="C24" s="35" t="inlineStr">
        <is>
          <t>whatsapp_number befüllbar machen</t>
        </is>
      </c>
      <c r="D24" s="36" t="n">
        <v>1</v>
      </c>
      <c r="E24" s="37" t="n">
        <v>3</v>
      </c>
      <c r="F24" s="37" t="n">
        <v>5</v>
      </c>
      <c r="G24" s="38" t="inlineStr">
        <is>
          <t>Die Spalte EXISTIERT bereits — die 1 h im Angebot ist falsch geschnitten. Es fehlt der Schreibweg: kein Employee-Endpoint, Nummern nur per Seed-Skript.</t>
        </is>
      </c>
    </row>
    <row r="25">
      <c r="B25" s="39" t="n"/>
      <c r="C25" s="40" t="inlineStr">
        <is>
          <t>Zwischensumme Phase 2</t>
        </is>
      </c>
      <c r="D25" s="41">
        <f>SUM(D21:D24)</f>
        <v/>
      </c>
      <c r="E25" s="41">
        <f>SUM(E21:E24)</f>
        <v/>
      </c>
      <c r="F25" s="41">
        <f>SUM(F21:F24)</f>
        <v/>
      </c>
      <c r="G25" s="39" t="n"/>
    </row>
    <row r="27">
      <c r="B27" s="30" t="inlineStr">
        <is>
          <t>Phase 3 — Mitarbeiter-Kalenderansicht (neu 2026-07-27)</t>
        </is>
      </c>
      <c r="C27" s="30" t="n"/>
      <c r="D27" s="30" t="n"/>
      <c r="E27" s="30" t="n"/>
      <c r="F27" s="30" t="n"/>
      <c r="G27" s="30" t="n"/>
    </row>
    <row r="28" ht="26" customHeight="1">
      <c r="B28" s="7" t="inlineStr">
        <is>
          <t>Pos.</t>
        </is>
      </c>
      <c r="C28" s="7" t="inlineStr">
        <is>
          <t>Leistung</t>
        </is>
      </c>
      <c r="D28" s="7" t="inlineStr">
        <is>
          <t>Angebot v2</t>
        </is>
      </c>
      <c r="E28" s="7" t="inlineStr">
        <is>
          <t>von</t>
        </is>
      </c>
      <c r="F28" s="7" t="inlineStr">
        <is>
          <t>bis</t>
        </is>
      </c>
      <c r="G28" s="7" t="inlineStr">
        <is>
          <t>Befund / Begründung</t>
        </is>
      </c>
    </row>
    <row r="29" ht="28" customHeight="1">
      <c r="B29" s="31" t="inlineStr">
        <is>
          <t>M1</t>
        </is>
      </c>
      <c r="C29" s="32" t="inlineStr">
        <is>
          <t>BE: Endpoint — Termine EINES Mitarbeiters im Zeitraum</t>
        </is>
      </c>
      <c r="D29" s="33" t="n"/>
      <c r="E29" s="10" t="n">
        <v>1</v>
      </c>
      <c r="F29" s="10" t="n">
        <v>2</v>
      </c>
      <c r="G29" s="14" t="inlineStr">
        <is>
          <t>Variante des A4-Endpoints, auf einen Mitarbeiter gefiltert. Vorbild existiert: GET /employees/{id}/construction-sites/with-projects. Das FE kennt die eigene employeeId (auth.ts:47-51) — kein neuer Identitäts-Aufwand unter Variante A.</t>
        </is>
      </c>
    </row>
    <row r="30" ht="28" customHeight="1">
      <c r="B30" s="34" t="inlineStr">
        <is>
          <t>M2</t>
        </is>
      </c>
      <c r="C30" s="35" t="inlineStr">
        <is>
          <t>FE: Neue Route + View „Mein Kalender" (requiresEmployee)</t>
        </is>
      </c>
      <c r="D30" s="36" t="n"/>
      <c r="E30" s="37" t="n">
        <v>2</v>
      </c>
      <c r="F30" s="37" t="n">
        <v>3</v>
      </c>
      <c r="G30" s="38" t="inlineStr">
        <is>
          <t>Guard requiresEmployee existiert (router/index.ts). Ohne Layout ~40 Zeilen Header-Chrome duplizieren (vgl. Fundament F1).</t>
        </is>
      </c>
    </row>
    <row r="31" ht="28" customHeight="1">
      <c r="B31" s="31" t="inlineStr">
        <is>
          <t>M3</t>
        </is>
      </c>
      <c r="C31" s="32" t="inlineStr">
        <is>
          <t>FE: Admin-Kalenderkomponente im Einzel-Modus wiederverwenden</t>
        </is>
      </c>
      <c r="D31" s="33" t="n"/>
      <c r="E31" s="10" t="n">
        <v>2</v>
      </c>
      <c r="F31" s="10" t="n">
        <v>4</v>
      </c>
      <c r="G31" s="14" t="inlineStr">
        <is>
          <t>Die calendar.js-Integration aus Phase 1 wird als Komponente wiederverwendet, fest auf den eigenen Mitarbeiter gefiltert. Kein zweiter Kalenderbau.</t>
        </is>
      </c>
    </row>
    <row r="32" ht="28" customHeight="1">
      <c r="B32" s="34" t="inlineStr">
        <is>
          <t>M4</t>
        </is>
      </c>
      <c r="C32" s="35" t="inlineStr">
        <is>
          <t>FE: Zugewiesenes Projekt am Termin anzeigen + Sprung zur Baustelle</t>
        </is>
      </c>
      <c r="D32" s="36" t="n"/>
      <c r="E32" s="37" t="n">
        <v>1</v>
      </c>
      <c r="F32" s="37" t="n">
        <v>2</v>
      </c>
      <c r="G32" s="38" t="inlineStr">
        <is>
          <t>Bei Zuweisung erscheint der Termin automatisch (appointment_employees aus Phase 1). Projekt-Label + Klick-Ziel ergänzen.</t>
        </is>
      </c>
    </row>
    <row r="33" ht="28" customHeight="1">
      <c r="B33" s="31" t="inlineStr">
        <is>
          <t>M5</t>
        </is>
      </c>
      <c r="C33" s="32" t="inlineStr">
        <is>
          <t>FE: Einstieg aus „Meine Baustellen" (Tab/Link) + Leerzustand</t>
        </is>
      </c>
      <c r="D33" s="33" t="n"/>
      <c r="E33" s="10" t="n">
        <v>1</v>
      </c>
      <c r="F33" s="10" t="n">
        <v>2</v>
      </c>
      <c r="G33" s="14" t="inlineStr">
        <is>
          <t>EmployeeView.vue (383 Z., Mitarbeiter-Landingpage) — dort einhängen statt neuer Top-Navigation.</t>
        </is>
      </c>
    </row>
    <row r="34" ht="28" customHeight="1">
      <c r="B34" s="34" t="inlineStr">
        <is>
          <t>M6</t>
        </is>
      </c>
      <c r="C34" s="35" t="inlineStr">
        <is>
          <t>Test mit echten Zuweisungsdaten</t>
        </is>
      </c>
      <c r="D34" s="36" t="n"/>
      <c r="E34" s="37" t="n">
        <v>1</v>
      </c>
      <c r="F34" s="37" t="n">
        <v>1</v>
      </c>
      <c r="G34" s="38" t="inlineStr">
        <is>
          <t>Zuweisung → Termin erscheint im richtigen Mitarbeiter-Kalender.</t>
        </is>
      </c>
    </row>
    <row r="35">
      <c r="B35" s="39" t="n"/>
      <c r="C35" s="40" t="inlineStr">
        <is>
          <t>Zwischensumme Phase 3</t>
        </is>
      </c>
      <c r="D35" s="41">
        <f>SUM(D29:D34)</f>
        <v/>
      </c>
      <c r="E35" s="41">
        <f>SUM(E29:E34)</f>
        <v/>
      </c>
      <c r="F35" s="41">
        <f>SUM(F29:F34)</f>
        <v/>
      </c>
      <c r="G35" s="39" t="n"/>
    </row>
    <row r="37" ht="24" customHeight="1">
      <c r="B37" s="23" t="n"/>
      <c r="C37" s="23" t="inlineStr">
        <is>
          <t>Gesamt</t>
        </is>
      </c>
      <c r="D37" s="24">
        <f>D17+D25+D35</f>
        <v/>
      </c>
      <c r="E37" s="24">
        <f>E17+E25+E35</f>
        <v/>
      </c>
      <c r="F37" s="24">
        <f>F17+F25+F35</f>
        <v/>
      </c>
      <c r="G37" s="23" t="n"/>
    </row>
    <row r="39">
      <c r="B39" s="28" t="inlineStr">
        <is>
          <t>Belege aus dem Code</t>
        </is>
      </c>
    </row>
    <row r="40">
      <c r="B40" s="42" t="inlineStr">
        <is>
          <t>· WIDERLEGT: „Terminerfassung existiert bereits in der DB". Existierende Tabellen: construction_sites, projects, employees, time_entries, reserved_toggl_projects, construction_site_toggl_projects, construction_site_employees, requests. Keine appointments.</t>
        </is>
      </c>
    </row>
    <row r="41">
      <c r="B41" s="42" t="inlineStr">
        <is>
          <t>· terminNachVereinbarung war ursprünglich ein BOOLEAN und enthält heute überwiegend die Strings 'Termin nach Vereinbarung' / 'Termin fehlt'.</t>
        </is>
      </c>
    </row>
    <row r="42">
      <c r="B42" s="42" t="inlineStr">
        <is>
          <t>· assigned_at auf construction_site_employees ist ein Audit-Zeitstempel (wann wurde die Zeile angelegt), KEIN geplantes Arbeitsdatum.</t>
        </is>
      </c>
    </row>
    <row r="43">
      <c r="B43" s="42" t="inlineStr">
        <is>
          <t>· PHASE 3 baut auf Phase 1 auf: Datenmodell (appointments, appointment_employees), calendar.js-Komponente und Zeitraum-Endpoint stammen von dort. Ohne Phase 1 ist Phase 3 nicht umsetzbar — die 8–14 h sind reine Wiederverwendung, kein zweiter Kalenderbau.</t>
        </is>
      </c>
    </row>
    <row r="44">
      <c r="B44" s="42" t="inlineStr">
        <is>
          <t>· OFFENE FRAGE Phase 3: Zeigt der Mitarbeiter-Kalender nur Termine, denen er per appointment_employees zugewiesen ist, ODER alle Termine der Projekte, denen er zugewiesen ist? Ersteres ist sauberer und angenommen; Letzteres bräuchte zusätzlich die (ggf. fuzzy/datumslose) Projekt-Ebene. Klären.</t>
        </is>
      </c>
    </row>
    <row r="45">
      <c r="B45" s="42" t="inlineStr">
        <is>
          <t>· Sicherheitshinweis Phase 3: Unter Variante A (Shared Secret) kann technisch jeder Mitarbeiter den Kalender jedes anderen abfragen (id im Request austauschbar). Gleiche Ausgangslage wie im ganzen Tool heute — echte Absicherung erst mit RBAC Variante B.</t>
        </is>
      </c>
    </row>
    <row r="46">
      <c r="B46" s="42" t="inlineStr">
        <is>
          <t>· BESTÄTIGT positiv: WhatsApp läuft über Twilio, produktiv. Die Zuweisungs-Benachrichtigung ist live und eine belastbare Vorlage.</t>
        </is>
      </c>
    </row>
    <row r="47">
      <c r="B47" s="42" t="inlineStr">
        <is>
          <t>· Kundenaussage bleibt gültig und dämpft den Umfang: keine Stundenangaben nötig, „Monteur A ist Montag auf Baustelle XY" reicht.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Topic 4 — E-Mail → Angebot: drei Ausbaustufen</t>
        </is>
      </c>
    </row>
    <row r="3">
      <c r="B3" s="2" t="inlineStr">
        <is>
          <t>Spannen unverändert aus der Variantenübersicht — zwei tragende Annahmen sind jedoch widerlegt (unten)</t>
        </is>
      </c>
    </row>
    <row r="4" ht="22" customHeight="1">
      <c r="B4" s="7" t="inlineStr">
        <is>
          <t>Kennzahl</t>
        </is>
      </c>
      <c r="C4" s="7" t="inlineStr">
        <is>
          <t>MVP</t>
        </is>
      </c>
      <c r="D4" s="7" t="inlineStr">
        <is>
          <t>Kern</t>
        </is>
      </c>
      <c r="E4" s="7" t="inlineStr">
        <is>
          <t>Vollausbau</t>
        </is>
      </c>
    </row>
    <row r="5">
      <c r="B5" s="43" t="inlineStr">
        <is>
          <t>Motto</t>
        </is>
      </c>
      <c r="C5" s="44" t="inlineStr">
        <is>
          <t>„Der stille Kollege"</t>
        </is>
      </c>
      <c r="D5" s="44" t="inlineStr">
        <is>
          <t>„Das Cockpit"</t>
        </is>
      </c>
      <c r="E5" s="44" t="inlineStr">
        <is>
          <t>„Der Assistent"</t>
        </is>
      </c>
    </row>
    <row r="6">
      <c r="B6" s="45" t="inlineStr">
        <is>
          <t>Stunden — von</t>
        </is>
      </c>
      <c r="C6" s="10" t="n">
        <v>108</v>
      </c>
      <c r="D6" s="10" t="n">
        <v>209</v>
      </c>
      <c r="E6" s="10" t="n">
        <v>315</v>
      </c>
    </row>
    <row r="7">
      <c r="B7" s="46" t="inlineStr">
        <is>
          <t>Stunden — Plan</t>
        </is>
      </c>
      <c r="C7" s="47" t="n">
        <v>142</v>
      </c>
      <c r="D7" s="47" t="n">
        <v>272</v>
      </c>
      <c r="E7" s="47" t="n">
        <v>416</v>
      </c>
    </row>
    <row r="8">
      <c r="B8" s="45" t="inlineStr">
        <is>
          <t>Stunden — bis</t>
        </is>
      </c>
      <c r="C8" s="10" t="n">
        <v>175</v>
      </c>
      <c r="D8" s="10" t="n">
        <v>334</v>
      </c>
      <c r="E8" s="10" t="n">
        <v>516</v>
      </c>
    </row>
    <row r="9">
      <c r="B9" s="45" t="inlineStr">
        <is>
          <t>Kosten — von</t>
        </is>
      </c>
      <c r="C9" s="48">
        <f>C6*Übersicht!$C$5</f>
        <v/>
      </c>
      <c r="D9" s="48">
        <f>D6*Übersicht!$C$5</f>
        <v/>
      </c>
      <c r="E9" s="48">
        <f>E6*Übersicht!$C$5</f>
        <v/>
      </c>
    </row>
    <row r="10">
      <c r="B10" s="46" t="inlineStr">
        <is>
          <t>Kosten — Plan</t>
        </is>
      </c>
      <c r="C10" s="49">
        <f>C7*Übersicht!$C$5</f>
        <v/>
      </c>
      <c r="D10" s="49">
        <f>D7*Übersicht!$C$5</f>
        <v/>
      </c>
      <c r="E10" s="49">
        <f>E7*Übersicht!$C$5</f>
        <v/>
      </c>
    </row>
    <row r="11">
      <c r="B11" s="45" t="inlineStr">
        <is>
          <t>Kosten — bis</t>
        </is>
      </c>
      <c r="C11" s="48">
        <f>C8*Übersicht!$C$5</f>
        <v/>
      </c>
      <c r="D11" s="48">
        <f>D8*Übersicht!$C$5</f>
        <v/>
      </c>
      <c r="E11" s="48">
        <f>E8*Übersicht!$C$5</f>
        <v/>
      </c>
    </row>
    <row r="13">
      <c r="B13" s="28" t="inlineStr">
        <is>
          <t>Was die Code-Analyse an den Annahmen ändert</t>
        </is>
      </c>
    </row>
    <row r="14" ht="26" customHeight="1">
      <c r="B14" s="50" t="inlineStr">
        <is>
          <t>TEILWEISE ZUTREFFEND — „Nuxt-Dashboard": Es ist keine Nuxt-App, sondern eine Vite-/Vue-SPA (~6.400 Zeilen, 4 Routen) ohne Komponentenbibliothek. Formular-Muster, Schreibpfade und Rollen-Guards existieren aber sehr wohl.</t>
        </is>
      </c>
    </row>
    <row r="15" ht="26" customHeight="1">
      <c r="B15" s="51" t="inlineStr">
        <is>
          <t xml:space="preserve">   → Für das Cockpit heißt das: kein Greenfield, aber jede Eingabemaske ist handgebaute Tailwind-Markup. Ohne Komponentenbibliothek bleiben Editor und Stammdaten-UIs der größte Kostenblock (Kern 50–80 h).</t>
        </is>
      </c>
    </row>
    <row r="16" ht="26" customHeight="1">
      <c r="B16" s="51" t="inlineStr">
        <is>
          <t xml:space="preserve">   → Es gibt weder ein Toast-System noch eine Validierungsbibliothek — bei einem formularlastigen Cockpit ein realer Zusatzposten.</t>
        </is>
      </c>
    </row>
    <row r="17" ht="26" customHeight="1">
      <c r="B17" s="50" t="inlineStr">
        <is>
          <t>BESTÄTIGT — „voice_requests als erprobte Vorlage für Architektur UND UI-Muster": die Aussage hält.</t>
        </is>
      </c>
    </row>
    <row r="18" ht="26" customHeight="1">
      <c r="B18" s="51" t="inlineStr">
        <is>
          <t xml:space="preserve">   → Architektur: Persistenz-Form und LLM-Aufruf. requests hat eine JSON-Spalte extracted_data und ein source-ENUM, das sich billig um 'email' erweitern lässt.</t>
        </is>
      </c>
    </row>
    <row r="19" ht="26" customHeight="1">
      <c r="B19" s="51" t="inlineStr">
        <is>
          <t xml:space="preserve">   → UI-Muster: VoiceRecorder.vue, VoiceRequestPlayer.vue und OpenRequestsView.vue (463 Z., Admin-Inbox mit Erledigt/Löschen) existieren — eine Freigabe-Inbox ist damit real vorgezeichnet.</t>
        </is>
      </c>
    </row>
    <row r="20" ht="26" customHeight="1">
      <c r="B20" s="51" t="inlineStr">
        <is>
          <t xml:space="preserve">   → Kein Zustandsautomat: nur ein done-Boolean. Kein pending/failed/needs_review, kein Fehlerfeld, kein Retry-Zähler.</t>
        </is>
      </c>
    </row>
    <row r="21" ht="26" customHeight="1">
      <c r="B21" s="51" t="inlineStr">
        <is>
          <t xml:space="preserve">   → Verarbeitung ist Fire-and-Forget (promise.catch). Stürzt sie ab, wird NIE eine Zeile geschrieben — für eine verlorene Kundenmail nicht tragbar.</t>
        </is>
      </c>
    </row>
    <row r="22" ht="26" customHeight="1">
      <c r="B22" s="50" t="inlineStr">
        <is>
          <t>BESTÄTIGT: OpenAI läuft produktiv (GPT-4o-mini für Extraktion, Whisper für Transkription, DeepL für Übersetzung). Der Kunde akzeptiert LLM-Daten in einem menschlich geprüften Formular.</t>
        </is>
      </c>
    </row>
    <row r="23" ht="26" customHeight="1">
      <c r="B23" s="51" t="inlineStr">
        <is>
          <t>BESTÄTIGT als Greenfield (war bekannt): Microsoft Graph fehlt vollständig, kein E-Mail-Empfang, keine Dokumentgenerierung, keine Queue.</t>
        </is>
      </c>
    </row>
    <row r="25">
      <c r="B25" s="28" t="inlineStr">
        <is>
          <t>Einordnung</t>
        </is>
      </c>
    </row>
    <row r="26" ht="24" customHeight="1">
      <c r="B26" s="51" t="inlineStr">
        <is>
          <t>· Ich habe die Spannen NICHT verändert. 300–500 h lassen sich aus einer Code-Analyse nicht seriös neu herleiten — das wäre Scheingenauigkeit.</t>
        </is>
      </c>
    </row>
    <row r="27" ht="24" customHeight="1">
      <c r="B27" s="51" t="inlineStr">
        <is>
          <t>· Aussagen lassen sich aber treffen: Der MVP ist am wenigsten betroffen (kein Cockpit). Kern und Vollausbau tragen das Risiko, weil ihr größter Block gegen ein nicht existierendes Dashboard geschätzt wurde.</t>
        </is>
      </c>
    </row>
    <row r="28" ht="24" customHeight="1">
      <c r="B28" s="51" t="inlineStr">
        <is>
          <t>· Empfehlung: vor einem Festpreis für Kern oder Vollausbau die Cockpit-Positionen gegen den tatsächlichen Frontend-Zustand neu durchrechnen.</t>
        </is>
      </c>
    </row>
    <row r="29" ht="24" customHeight="1">
      <c r="B29" s="51" t="inlineStr">
        <is>
          <t>· Die Empfehlung „Einstieg über MVP" wird durch die Analyse eher gestärkt: kleinster Frontend-Anteil, damit geringste Abhängigkeit vom Fundament.</t>
        </is>
      </c>
    </row>
  </sheetData>
  <mergeCells count="14">
    <mergeCell ref="B17:E17"/>
    <mergeCell ref="B18:E18"/>
    <mergeCell ref="B23:E23"/>
    <mergeCell ref="B26:E26"/>
    <mergeCell ref="B27:E27"/>
    <mergeCell ref="B21:E21"/>
    <mergeCell ref="B16:E16"/>
    <mergeCell ref="B15:E15"/>
    <mergeCell ref="B29:E29"/>
    <mergeCell ref="B19:E19"/>
    <mergeCell ref="B20:E20"/>
    <mergeCell ref="B28:E28"/>
    <mergeCell ref="B22:E22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2026-07-27T17:07:17Z</dcterms:created>
  <dcterms:modified xsi:type="dcterms:W3CDTF">2026-07-27T17:07:17Z</dcterms:modified>
</cp:coreProperties>
</file>